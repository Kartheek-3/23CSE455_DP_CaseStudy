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ca34e60e3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d266d43f1748df"/>
    <x:sheet xmlns:r="http://schemas.openxmlformats.org/officeDocument/2006/relationships" name="Patterns" sheetId="2" r:id="Ra2f0a482de34469c"/>
    <x:sheet xmlns:r="http://schemas.openxmlformats.org/officeDocument/2006/relationships" name="Pattern Counts" sheetId="3" r:id="Rea5f4c6976a147fa"/>
    <x:sheet xmlns:r="http://schemas.openxmlformats.org/officeDocument/2006/relationships" name="Evolution" sheetId="4" r:id="R2c1913e05cf44047"/>
    <x:sheet xmlns:r="http://schemas.openxmlformats.org/officeDocument/2006/relationships" name="Cross Language" sheetId="5" r:id="R3761a9e31bfb40e7"/>
    <x:sheet xmlns:r="http://schemas.openxmlformats.org/officeDocument/2006/relationships" name="LLM Records" sheetId="6" r:id="Ra478a3270c794b31"/>
    <x:sheet xmlns:r="http://schemas.openxmlformats.org/officeDocument/2006/relationships" name="Metrics" sheetId="7" r:id="R1b49cc2e98bd4e99"/>
    <x:sheet xmlns:r="http://schemas.openxmlformats.org/officeDocument/2006/relationships" name="Contributions" sheetId="8" r:id="R3dfc0cba3447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0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b/>
      <x:sz val="10"/>
      <x:color rgb="FF1F2937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b/>
      <x:sz val="11"/>
      <x:color rgb="FF9C6500"/>
      <x:name val="Arial"/>
    </x:font>
    <x:font>
      <x:i/>
      <x:sz val="10"/>
      <x:color rgb="FF4B5563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medium">
        <x:color rgb="FF5B9BD5"/>
      </x:bottom>
      <x:diagonal/>
    </x:border>
    <x:border>
      <x:left style="thin">
        <x:color rgb="FF9EADBA"/>
      </x:left>
      <x:right/>
      <x:top style="thin">
        <x:color rgb="FF9EADBA"/>
      </x:top>
      <x:bottom/>
      <x:diagonal/>
    </x:border>
    <x:border>
      <x:left/>
      <x:right style="thin">
        <x:color rgb="FF9EADBA"/>
      </x:right>
      <x:top style="thin">
        <x:color rgb="FF9EADBA"/>
      </x:top>
      <x:bottom/>
      <x:diagonal/>
    </x:border>
    <x:border>
      <x:left style="thin">
        <x:color rgb="FF9EADBA"/>
      </x:left>
      <x:right/>
      <x:top/>
      <x:bottom/>
      <x:diagonal/>
    </x:border>
    <x:border>
      <x:left/>
      <x:right style="thin">
        <x:color rgb="FF9EADBA"/>
      </x:right>
      <x:top/>
      <x:bottom/>
      <x:diagonal/>
    </x:border>
    <x:border>
      <x:left style="thin">
        <x:color rgb="FF9EADBA"/>
      </x:left>
      <x:right/>
      <x:top/>
      <x:bottom style="thin">
        <x:color rgb="FF9EADBA"/>
      </x:bottom>
      <x:diagonal/>
    </x:border>
    <x:border>
      <x:left/>
      <x:right style="thin">
        <x:color rgb="FF9EADBA"/>
      </x:right>
      <x:top/>
      <x:bottom style="thin">
        <x:color rgb="FF9EADBA"/>
      </x:bottom>
      <x:diagonal/>
    </x:border>
    <x:border>
      <x:left/>
      <x:right/>
      <x:top style="thin">
        <x:color rgb="FF9EADBA"/>
      </x:top>
      <x:bottom/>
      <x:diagonal/>
    </x:border>
    <x:border>
      <x:left/>
      <x:right/>
      <x:top/>
      <x:bottom style="thin">
        <x:color rgb="FF9EADBA"/>
      </x:bottom>
      <x:diagonal/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1" fontId="5" fillId="3" borderId="0" xfId="0" applyNumberFormat="1" applyFont="1" applyFill="1" applyBorder="1" applyAlignment="1">
      <x:alignment horizontal="right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/>
    <x:xf numFmtId="0" fontId="5" fillId="3" borderId="8" xfId="0" applyNumberFormat="1" applyFont="1" applyFill="1" applyBorder="1" applyAlignment="1">
      <x:alignment horizontal="right"/>
    </x:xf>
    <x:xf numFmtId="0" fontId="4" fillId="0" borderId="9" xfId="0" applyNumberFormat="1" applyFont="1" applyFill="1" applyBorder="1"/>
    <x:xf numFmtId="201" fontId="5" fillId="3" borderId="1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2" xfId="0" applyNumberFormat="1" applyFont="1" applyFill="1" applyBorder="1"/>
    <x:xf numFmtId="20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7" xfId="0" applyNumberFormat="1" applyFont="1" applyFill="1" applyBorder="1"/>
    <x:xf numFmtId="200" fontId="9" fillId="0" borderId="0" xfId="0" applyNumberFormat="1" applyFont="1" applyFill="1" applyBorder="1"/>
    <x:xf numFmtId="200" fontId="9" fillId="0" borderId="8" xfId="0" applyNumberFormat="1" applyFont="1" applyFill="1" applyBorder="1"/>
    <x:xf numFmtId="0" fontId="9" fillId="0" borderId="9" xfId="0" applyNumberFormat="1" applyFont="1" applyFill="1" applyBorder="1"/>
    <x:xf numFmtId="200" fontId="9" fillId="0" borderId="12" xfId="0" applyNumberFormat="1" applyFont="1" applyFill="1" applyBorder="1"/>
    <x:xf numFmtId="200" fontId="9" fillId="0" borderId="10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8057d266441f1" /><Relationship Type="http://schemas.openxmlformats.org/officeDocument/2006/relationships/theme" Target="/xl/theme/theme1.xml" Id="R342ba45008db4edb" /><Relationship Type="http://schemas.openxmlformats.org/officeDocument/2006/relationships/sharedStrings" Target="/xl/sharedStrings.xml" Id="R2fd733fe24594bdd" /><Relationship Type="http://schemas.openxmlformats.org/officeDocument/2006/relationships/worksheet" Target="/xl/worksheets/sheet1.xml" Id="Rf5d266d43f1748df" /><Relationship Type="http://schemas.openxmlformats.org/officeDocument/2006/relationships/worksheet" Target="/xl/worksheets/sheet2.xml" Id="Ra2f0a482de34469c" /><Relationship Type="http://schemas.openxmlformats.org/officeDocument/2006/relationships/worksheet" Target="/xl/worksheets/sheet3.xml" Id="Rea5f4c6976a147fa" /><Relationship Type="http://schemas.openxmlformats.org/officeDocument/2006/relationships/worksheet" Target="/xl/worksheets/sheet4.xml" Id="R2c1913e05cf44047" /><Relationship Type="http://schemas.openxmlformats.org/officeDocument/2006/relationships/worksheet" Target="/xl/worksheets/sheet5.xml" Id="R3761a9e31bfb40e7" /><Relationship Type="http://schemas.openxmlformats.org/officeDocument/2006/relationships/worksheet" Target="/xl/worksheets/sheet6.xml" Id="Ra478a3270c794b31" /><Relationship Type="http://schemas.openxmlformats.org/officeDocument/2006/relationships/worksheet" Target="/xl/worksheets/sheet7.xml" Id="R1b49cc2e98bd4e99" /><Relationship Type="http://schemas.openxmlformats.org/officeDocument/2006/relationships/worksheet" Target="/xl/worksheets/sheet8.xml" Id="R3dfc0cba344742c8" /></Relationships>
</file>

<file path=xl/tables/table1.xml><?xml version="1.0" encoding="utf-8"?>
<x:table xmlns:x="http://schemas.openxmlformats.org/spreadsheetml/2006/main" id="1" name="PatternsTable" displayName="PatternsTable" ref="A1:G6" headerRowCount="1" totalsRowCount="0" totalsRowShown="0">
  <x:autoFilter ref="A1:G6"/>
  <x:tableColumns count="7">
    <x:tableColumn id="1" name="source_version"/>
    <x:tableColumn id="2" name="pattern_name"/>
    <x:tableColumn id="3" name="pattern_type"/>
    <x:tableColumn id="4" name="instance_name"/>
    <x:tableColumn id="5" name="participant_roles"/>
    <x:tableColumn id="6" name="source_locations"/>
    <x:tableColumn id="7" name="intent_and_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tternCountsTable" displayName="PatternCountsTable" ref="A1:D35" headerRowCount="1" totalsRowCount="0" totalsRowShown="0">
  <x:autoFilter ref="A1:D35"/>
  <x:tableColumns count="4">
    <x:tableColumn id="1" name="source_version"/>
    <x:tableColumn id="2" name="summary"/>
    <x:tableColumn id="3" name="pattern_name"/>
    <x:tableColumn id="4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olutionTable" displayName="EvolutionTable" ref="A1:I27" headerRowCount="1" totalsRowCount="0" totalsRowShown="0">
  <x:autoFilter ref="A1:I27"/>
  <x:tableColumns count="9">
    <x:tableColumn id="1" name="source_version"/>
    <x:tableColumn id="2" name="pattern_name"/>
    <x:tableColumn id="3" name="pattern_type"/>
    <x:tableColumn id="4" name="instance_name"/>
    <x:tableColumn id="5" name="participant_roles"/>
    <x:tableColumn id="6" name="source_locations"/>
    <x:tableColumn id="7" name="intent_and_evidence"/>
    <x:tableColumn id="8" name="status_after_change"/>
    <x:tableColumn id="9" name="change_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ossLanguageTable" displayName="CrossLanguageTable" ref="A1:K9" headerRowCount="1" totalsRowCount="0" totalsRowShown="0">
  <x:autoFilter ref="A1:K9"/>
  <x:tableColumns count="11">
    <x:tableColumn id="1" name="pattern_name"/>
    <x:tableColumn id="2" name="instance_name"/>
    <x:tableColumn id="3" name="language"/>
    <x:tableColumn id="4" name="snippet_path"/>
    <x:tableColumn id="5" name="source_loc"/>
    <x:tableColumn id="6" name="max_function_cc"/>
    <x:tableColumn id="7" name="runtime_compiler"/>
    <x:tableColumn id="8" name="test_command"/>
    <x:tableColumn id="9" name="test_result"/>
    <x:tableColumn id="10" name="median_process_ms"/>
    <x:tableColumn id="11" name="language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LMTable" displayName="LLMTable" ref="A1:G9" headerRowCount="1" totalsRowCount="0" totalsRowShown="0">
  <x:autoFilter ref="A1:G9"/>
  <x:tableColumns count="7">
    <x:tableColumn id="1" name="part"/>
    <x:tableColumn id="2" name="model_and_date"/>
    <x:tableColumn id="3" name="prompt_file"/>
    <x:tableColumn id="4" name="input_file"/>
    <x:tableColumn id="5" name="output_file"/>
    <x:tableColumn id="6" name="evaluation"/>
    <x:tableColumn id="7" name="verification_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" displayName="MetricsTable" ref="A1:J5" headerRowCount="1" totalsRowCount="0" totalsRowShown="0">
  <x:autoFilter ref="A1:J5"/>
  <x:tableColumns count="10">
    <x:tableColumn id="1" name="snapshot"/>
    <x:tableColumn id="2" name="production_loc"/>
    <x:tableColumn id="3" name="test_loc"/>
    <x:tableColumn id="4" name="tests_passed"/>
    <x:tableColumn id="5" name="tests_total"/>
    <x:tableColumn id="6" name="pattern_types"/>
    <x:tableColumn id="7" name="pattern_instances"/>
    <x:tableColumn id="8" name="concrete_participant_classes"/>
    <x:tableColumn id="9" name="unique_participant_symbols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ibutionsTable" displayName="ContributionsTable" ref="A1:H5" headerRowCount="1" totalsRowCount="0" totalsRowShown="0">
  <x:autoFilter ref="A1:H5"/>
  <x:tableColumns count="8">
    <x:tableColumn id="1" name="member"/>
    <x:tableColumn id="2" name="roll_number"/>
    <x:tableColumn id="3" name="batch"/>
    <x:tableColumn id="4" name="allocation_percent"/>
    <x:tableColumn id="5" name="primary_contribution"/>
    <x:tableColumn id="6" name="evidence_paths"/>
    <x:tableColumn id="7" name="prompt_records"/>
    <x:tableColumn id="8" name="human_signof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f290c6d6c141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383be8adf84d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2a811fff65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f1b2c1ab854d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c0b765309a4e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18e87bd6114c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49b2a54c49449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24" hidden="0" customWidth="1"/>
    <x:col min="5" max="5" width="2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8" t="str">
        <x:v>B4 Property Rental Design Pattern Case Study</x:v>
      </x:c>
      <x:c r="B2" s="18"/>
      <x:c r="C2" s="18"/>
      <x:c r="D2" s="18"/>
      <x:c r="E2" s="18"/>
      <x:c r="F2" s="18"/>
      <x:c r="G2" s="18"/>
      <x:c r="H2" s="18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28" t="str">
        <x:v>Metric</x:v>
      </x:c>
      <x:c r="B5" s="29" t="str">
        <x:v>Value</x:v>
      </x:c>
      <x:c r="C5" s="63"/>
      <x:c r="D5" s="34" t="str">
        <x:v>Evolution snapshots</x:v>
      </x:c>
      <x:c r="E5" s="34"/>
      <x:c r="F5" s="34"/>
      <x:c r="G5" s="34"/>
      <x:c r="H5" s="34"/>
    </x:row>
    <x:row r="6">
      <x:c r="A6" s="30" t="str">
        <x:v>Baseline pattern instances</x:v>
      </x:c>
      <x:c r="B6" s="31" t="n">
        <x:f>COUNTA(Patterns!A2:A100)</x:f>
        <x:v>5</x:v>
      </x:c>
      <x:c r="C6" s="63"/>
      <x:c r="D6" s="38" t="str">
        <x:v>Snapshot</x:v>
      </x:c>
      <x:c r="E6" s="39" t="str">
        <x:v>Production LOC</x:v>
      </x:c>
      <x:c r="F6" s="39" t="str">
        <x:v>Checks passed</x:v>
      </x:c>
      <x:c r="G6" s="39" t="str">
        <x:v>Pattern types</x:v>
      </x:c>
      <x:c r="H6" s="40" t="str">
        <x:v>Instances</x:v>
      </x:c>
    </x:row>
    <x:row r="7">
      <x:c r="A7" s="30" t="str">
        <x:v>Final pattern instances</x:v>
      </x:c>
      <x:c r="B7" s="31" t="n">
        <x:f>MAX(Metrics!G2:G5)</x:f>
        <x:v>8</x:v>
      </x:c>
      <x:c r="C7" s="63"/>
      <x:c r="D7" s="65" t="str">
        <x:v>Original code</x:v>
      </x:c>
      <x:c r="E7" s="66" t="n">
        <x:v>2055</x:v>
      </x:c>
      <x:c r="F7" s="66" t="n">
        <x:v>1</x:v>
      </x:c>
      <x:c r="G7" s="66" t="n">
        <x:v>5</x:v>
      </x:c>
      <x:c r="H7" s="67" t="n">
        <x:v>5</x:v>
      </x:c>
    </x:row>
    <x:row r="8">
      <x:c r="A8" s="30" t="str">
        <x:v>Final distinct pattern types</x:v>
      </x:c>
      <x:c r="B8" s="31" t="n">
        <x:f>MAX(Metrics!F2:F5)</x:f>
        <x:v>8</x:v>
      </x:c>
      <x:c r="C8" s="63"/>
      <x:c r="D8" s="65" t="str">
        <x:v>After CH01</x:v>
      </x:c>
      <x:c r="E8" s="66" t="n">
        <x:v>2143</x:v>
      </x:c>
      <x:c r="F8" s="66" t="n">
        <x:v>2</x:v>
      </x:c>
      <x:c r="G8" s="66" t="n">
        <x:v>6</x:v>
      </x:c>
      <x:c r="H8" s="67" t="n">
        <x:v>6</x:v>
      </x:c>
    </x:row>
    <x:row r="9">
      <x:c r="A9" s="30" t="str">
        <x:v>Final production LOC</x:v>
      </x:c>
      <x:c r="B9" s="31" t="n">
        <x:f>MAX(Metrics!B2:B5)</x:f>
        <x:v>2450</x:v>
      </x:c>
      <x:c r="C9" s="63"/>
      <x:c r="D9" s="65" t="str">
        <x:v>After CH02</x:v>
      </x:c>
      <x:c r="E9" s="66" t="n">
        <x:v>2303</x:v>
      </x:c>
      <x:c r="F9" s="66" t="n">
        <x:v>4</x:v>
      </x:c>
      <x:c r="G9" s="66" t="n">
        <x:v>7</x:v>
      </x:c>
      <x:c r="H9" s="67" t="n">
        <x:v>7</x:v>
      </x:c>
    </x:row>
    <x:row r="10">
      <x:c r="A10" s="30" t="str">
        <x:v>Production LOC added</x:v>
      </x:c>
      <x:c r="B10" s="31" t="n">
        <x:f>Metrics!B5-Metrics!B2</x:f>
        <x:v>395</x:v>
      </x:c>
      <x:c r="C10" s="63"/>
      <x:c r="D10" s="68" t="str">
        <x:v>After CH03</x:v>
      </x:c>
      <x:c r="E10" s="69" t="n">
        <x:v>2450</x:v>
      </x:c>
      <x:c r="F10" s="69" t="n">
        <x:v>10</x:v>
      </x:c>
      <x:c r="G10" s="69" t="n">
        <x:v>8</x:v>
      </x:c>
      <x:c r="H10" s="70" t="n">
        <x:v>8</x:v>
      </x:c>
    </x:row>
    <x:row r="11">
      <x:c r="A11" s="30" t="str">
        <x:v>Final tests passed</x:v>
      </x:c>
      <x:c r="B11" s="31" t="n">
        <x:f>MAX(Metrics!D2:D5)</x:f>
        <x:v>10</x:v>
      </x:c>
      <x:c r="C11" s="63"/>
      <x:c r="D11" s="63"/>
      <x:c r="E11" s="63"/>
      <x:c r="F11" s="63"/>
      <x:c r="G11" s="63"/>
      <x:c r="H11" s="63"/>
    </x:row>
    <x:row r="12">
      <x:c r="A12" s="32" t="str">
        <x:v>Contribution allocation</x:v>
      </x:c>
      <x:c r="B12" s="33" t="n">
        <x:f>SUM(Contributions!D2:D5)</x:f>
        <x:v>1</x:v>
      </x:c>
      <x:c r="C12" s="63"/>
      <x:c r="D12" s="63"/>
      <x:c r="E12" s="63"/>
      <x:c r="F12" s="63"/>
      <x:c r="G12" s="63"/>
      <x:c r="H12" s="63"/>
    </x:row>
    <x:row r="13">
      <x:c r="A13" s="63"/>
      <x:c r="B13" s="63"/>
      <x:c r="C13" s="63"/>
      <x:c r="D13" s="21" t="str">
        <x:v>Verification status</x:v>
      </x:c>
      <x:c r="E13" s="21"/>
      <x:c r="F13" s="21"/>
      <x:c r="G13" s="21"/>
      <x:c r="H13" s="21"/>
    </x:row>
    <x:row r="14">
      <x:c r="A14" s="63"/>
      <x:c r="B14" s="63"/>
      <x:c r="C14" s="63"/>
      <x:c r="D14" s="38" t="str">
        <x:v>Check</x:v>
      </x:c>
      <x:c r="E14" s="39" t="str">
        <x:v>Result</x:v>
      </x:c>
      <x:c r="F14" s="39" t="str">
        <x:v>Evidence</x:v>
      </x:c>
      <x:c r="G14" s="39" t="str">
        <x:v>Owner</x:v>
      </x:c>
      <x:c r="H14" s="40" t="str">
        <x:v>Action</x:v>
      </x:c>
    </x:row>
    <x:row r="15" ht="28" customHeight="1">
      <x:c r="A15" s="63"/>
      <x:c r="B15" s="63"/>
      <x:c r="C15" s="63"/>
      <x:c r="D15" s="71" t="str">
        <x:v>Baseline Laravel suite</x:v>
      </x:c>
      <x:c r="E15" s="72" t="str">
        <x:v>1/2; stock mismatch disclosed</x:v>
      </x:c>
      <x:c r="F15" s="72" t="str">
        <x:v>Part1/evidence/test_results.txt</x:v>
      </x:c>
      <x:c r="G15" s="72" t="str">
        <x:v>Sahith</x:v>
      </x:c>
      <x:c r="H15" s="73" t="str">
        <x:v>Review upstream expectation</x:v>
      </x:c>
    </x:row>
    <x:row r="16" ht="28" customHeight="1">
      <x:c r="A16" s="63"/>
      <x:c r="B16" s="63"/>
      <x:c r="C16" s="63"/>
      <x:c r="D16" s="71" t="str">
        <x:v>Evolved Laravel suite</x:v>
      </x:c>
      <x:c r="E16" s="72" t="str">
        <x:v>2/2 passed</x:v>
      </x:c>
      <x:c r="F16" s="72" t="str">
        <x:v>Part2/evidence/test_results.txt</x:v>
      </x:c>
      <x:c r="G16" s="72" t="str">
        <x:v>Surya</x:v>
      </x:c>
      <x:c r="H16" s="73" t="str">
        <x:v>None</x:v>
      </x:c>
    </x:row>
    <x:row r="17" ht="28" customHeight="1">
      <x:c r="A17" s="63"/>
      <x:c r="B17" s="63"/>
      <x:c r="C17" s="63"/>
      <x:c r="D17" s="71" t="str">
        <x:v>Evolution acceptance</x:v>
      </x:c>
      <x:c r="E17" s="72" t="str">
        <x:v>10/10 passed</x:v>
      </x:c>
      <x:c r="F17" s="72" t="str">
        <x:v>Part2/evidence/test_results.txt</x:v>
      </x:c>
      <x:c r="G17" s="72" t="str">
        <x:v>Manoj</x:v>
      </x:c>
      <x:c r="H17" s="73" t="str">
        <x:v>None</x:v>
      </x:c>
    </x:row>
    <x:row r="18" ht="28" customHeight="1">
      <x:c r="A18" s="63"/>
      <x:c r="B18" s="63"/>
      <x:c r="C18" s="63"/>
      <x:c r="D18" s="71" t="str">
        <x:v>Eight language suites</x:v>
      </x:c>
      <x:c r="E18" s="72" t="str">
        <x:v>All passed</x:v>
      </x:c>
      <x:c r="F18" s="72" t="str">
        <x:v>Part3/evidence/cross_language_runs.txt</x:v>
      </x:c>
      <x:c r="G18" s="72" t="str">
        <x:v>Sanithya / Manoj</x:v>
      </x:c>
      <x:c r="H18" s="73" t="str">
        <x:v>None</x:v>
      </x:c>
    </x:row>
    <x:row r="19" ht="28" customHeight="1">
      <x:c r="A19" s="63"/>
      <x:c r="B19" s="63"/>
      <x:c r="C19" s="63"/>
      <x:c r="D19" s="74" t="str">
        <x:v>Human acknowledgement</x:v>
      </x:c>
      <x:c r="E19" s="58" t="str">
        <x:v>Pending</x:v>
      </x:c>
      <x:c r="F19" s="75" t="str">
        <x:v>HUMAN_VERIFICATION.md</x:v>
      </x:c>
      <x:c r="G19" s="75" t="str">
        <x:v>All members</x:v>
      </x:c>
      <x:c r="H19" s="76" t="str">
        <x:v>Sign before PR</x:v>
      </x:c>
    </x:row>
    <x:row r="20">
      <x:c r="A20" s="63"/>
      <x:c r="B20" s="63"/>
      <x:c r="C20" s="63"/>
      <x:c r="D20" s="63"/>
      <x:c r="E20" s="63"/>
      <x:c r="F20" s="63"/>
      <x:c r="G20" s="63"/>
      <x:c r="H20" s="63"/>
    </x:row>
    <x:row r="21" ht="24" customHeight="1">
      <x:c r="A21" s="62" t="str">
        <x:v>Limitations: the public baseline has no dedicated lease entity or application-level notification workflow; the educational contract stores hash evidence rather than a legally binding signature; process timings include runtime startup. Faculty approval and member signatures remain human inputs.</x:v>
      </x:c>
      <x:c r="B21" s="62"/>
      <x:c r="C21" s="62"/>
      <x:c r="D21" s="62"/>
      <x:c r="E21" s="62"/>
      <x:c r="F21" s="62"/>
      <x:c r="G21" s="62"/>
      <x:c r="H21" s="62"/>
    </x:row>
    <x:row r="22" ht="24" customHeight="1">
      <x:c r="A22" s="62"/>
      <x:c r="B22" s="62"/>
      <x:c r="C22" s="62"/>
      <x:c r="D22" s="62"/>
      <x:c r="E22" s="62"/>
      <x:c r="F22" s="62"/>
      <x:c r="G22" s="62"/>
      <x:c r="H22" s="62"/>
    </x:row>
    <x:row r="23" ht="24" customHeight="1">
      <x:c r="A23" s="62"/>
      <x:c r="B23" s="62"/>
      <x:c r="C23" s="62"/>
      <x:c r="D23" s="62"/>
      <x:c r="E23" s="62"/>
      <x:c r="F23" s="62"/>
      <x:c r="G23" s="62"/>
      <x:c r="H23" s="62"/>
    </x:row>
    <x:row r="24">
      <x:c r="A24" s="63"/>
      <x:c r="B24" s="63"/>
      <x:c r="C24" s="63"/>
      <x:c r="D24" s="63"/>
      <x:c r="E24" s="63"/>
      <x:c r="F24" s="63"/>
      <x:c r="G24" s="63"/>
      <x:c r="H24" s="63"/>
    </x:row>
  </x:sheetData>
  <x:mergeCells>
    <x:mergeCell ref="A2:H2"/>
    <x:mergeCell ref="D5:H5"/>
    <x:mergeCell ref="D13:H13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8" hidden="0" customWidth="1"/>
    <x:col min="5" max="5" width="44" hidden="0" customWidth="1"/>
    <x:col min="6" max="6" width="48" hidden="0" customWidth="1"/>
    <x:col min="7" max="7" width="48" hidden="0" customWidth="1"/>
  </x:cols>
  <x:sheetData>
    <x:row r="1" ht="34" customHeight="1">
      <x:c r="A1" s="11" t="str">
        <x:v>source_version</x:v>
      </x:c>
      <x:c r="B1" s="12" t="str">
        <x:v>pattern_name</x:v>
      </x:c>
      <x:c r="C1" s="12" t="str">
        <x:v>pattern_type</x:v>
      </x:c>
      <x:c r="D1" s="12" t="str">
        <x:v>instance_name</x:v>
      </x:c>
      <x:c r="E1" s="12" t="str">
        <x:v>participant_roles</x:v>
      </x:c>
      <x:c r="F1" s="12" t="str">
        <x:v>source_locations</x:v>
      </x:c>
      <x:c r="G1" s="13" t="str">
        <x:v>intent_and_evidence</x:v>
      </x:c>
    </x:row>
    <x:row r="2" ht="55" customHeight="1">
      <x:c r="A2" s="2" t="str">
        <x:v>Original code</x:v>
      </x:c>
      <x:c r="B2" s="2" t="str">
        <x:v>Model-View-Controller</x:v>
      </x:c>
      <x:c r="C2" s="2" t="str">
        <x:v>Architecture</x:v>
      </x:c>
      <x:c r="D2" s="14" t="str">
        <x:v>Property Management Request Coordination</x:v>
      </x:c>
      <x:c r="E2" s="14" t="str">
        <x:v>Controller=PropertyController; Model=Property/Owner/Tenant; View=properties Blade templates; Router=routes/web.php</x:v>
      </x:c>
      <x:c r="F2" s="14" t="str">
        <x:v>Part1/code/app/Http/Controllers/PropertyController.php:11-119; Part1/code/app/Models/Property.php:8-64; Part1/code/resources/views/properties/index.blade.php; Part1/code/routes/web.php:1-88</x:v>
      </x:c>
      <x:c r="G2" s="14" t="str">
        <x:v>Resource routes dispatch to a controller; the controller coordinates Eloquent models and selects Blade views.</x:v>
      </x:c>
    </x:row>
    <x:row r="3" ht="55" customHeight="1">
      <x:c r="A3" s="2" t="str">
        <x:v>Original code</x:v>
      </x:c>
      <x:c r="B3" s="2" t="str">
        <x:v>Active Record</x:v>
      </x:c>
      <x:c r="C3" s="2" t="str">
        <x:v>Enterprise Data Source</x:v>
      </x:c>
      <x:c r="D3" s="14" t="str">
        <x:v>Property and Rental Record Persistence</x:v>
      </x:c>
      <x:c r="E3" s="14" t="str">
        <x:v>ActiveRecord=Property/Owner/Tenant/RentReceipt; Database mapping=Eloquent Model; Relations=belongsTo/hasMany</x:v>
      </x:c>
      <x:c r="F3" s="14" t="str">
        <x:v>Part1/code/app/Models/Property.php:8-64; Part1/code/app/Models/Owner.php; Part1/code/app/Models/Tenant.php; Part1/code/app/Models/RentReceipt.php</x:v>
      </x:c>
      <x:c r="G3" s="14" t="str">
        <x:v>Models contain persistence metadata and relationship methods and are directly queried and updated by controllers.</x:v>
      </x:c>
    </x:row>
    <x:row r="4" ht="55" customHeight="1">
      <x:c r="A4" s="2" t="str">
        <x:v>Original code</x:v>
      </x:c>
      <x:c r="B4" s="2" t="str">
        <x:v>Chain of Responsibility</x:v>
      </x:c>
      <x:c r="C4" s="2" t="str">
        <x:v>Behavioral</x:v>
      </x:c>
      <x:c r="D4" s="14" t="str">
        <x:v>HTTP Authentication and Security Pipeline</x:v>
      </x:c>
      <x:c r="E4" s="14" t="str">
        <x:v>Handler=Laravel auth middleware; ConcreteHandler=RoleMiddleware/SecurityHeaders; Client=route groups and bootstrap middleware configuration</x:v>
      </x:c>
      <x:c r="F4" s="14" t="str">
        <x:v>Part1/code/app/Http/Middleware/RoleMiddleware.php:9-34; Part1/code/app/Http/Middleware/SecurityHeaders.php:9-21; Part1/code/bootstrap/app.php:12-19; Part1/code/routes/web.php:17-88</x:v>
      </x:c>
      <x:c r="G4" s="14" t="str">
        <x:v>Each middleware may stop processing or pass the request to the next handler; SecurityHeaders decorates the downstream response.</x:v>
      </x:c>
    </x:row>
    <x:row r="5" ht="55" customHeight="1">
      <x:c r="A5" s="2" t="str">
        <x:v>Original code</x:v>
      </x:c>
      <x:c r="B5" s="2" t="str">
        <x:v>Template Method</x:v>
      </x:c>
      <x:c r="C5" s="2" t="str">
        <x:v>Behavioral</x:v>
      </x:c>
      <x:c r="D5" s="14" t="str">
        <x:v>Form Request Validation Lifecycle</x:v>
      </x:c>
      <x:c r="E5" s="14" t="str">
        <x:v>AbstractTemplate=Illuminate FormRequest; Hooks=authorize/rules; ConcreteClasses=StorePropertyRequest/StoreTenantRequest/StoreRentReceiptRequest</x:v>
      </x:c>
      <x:c r="F5" s="14" t="str">
        <x:v>Part1/code/app/Http/Requests/StorePropertyRequest.php:7-27; Part1/code/app/Http/Requests/StoreTenantRequest.php; Part1/code/app/Http/Requests/StoreRentReceiptRequest.php</x:v>
      </x:c>
      <x:c r="G5" s="14" t="str">
        <x:v>Laravel owns the validation lifecycle while each request subclass supplies authorization and rule hooks.</x:v>
      </x:c>
    </x:row>
    <x:row r="6" ht="55" customHeight="1">
      <x:c r="A6" s="2" t="str">
        <x:v>Original code</x:v>
      </x:c>
      <x:c r="B6" s="2" t="str">
        <x:v>Facade</x:v>
      </x:c>
      <x:c r="C6" s="2" t="str">
        <x:v>Structural</x:v>
      </x:c>
      <x:c r="D6" s="14" t="str">
        <x:v>Tenant Registration Infrastructure Access</x:v>
      </x:c>
      <x:c r="E6" s="14" t="str">
        <x:v>Facade=DB/Hash; Subsystems=database manager and hashing service; Client=TenantController</x:v>
      </x:c>
      <x:c r="F6" s="14" t="str">
        <x:v>Part1/code/app/Http/Controllers/TenantController.php:5-45</x:v>
      </x:c>
      <x:c r="G6" s="14" t="str">
        <x:v>TenantController invokes DB::transaction and Hash::make through Laravel facades instead of locating infrastructure services directly.</x:v>
      </x:c>
    </x:row>
  </x:sheetData>
  <x:pageMargins left="0.7" right="0.7" top="0.75" bottom="0.75" header="0.3" footer="0.3"/>
  <x:tableParts count="1">
    <x:tablePart xmlns:r="http://schemas.openxmlformats.org/officeDocument/2006/relationships" r:id="R3af290c6d6c141b5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12" hidden="0" customWidth="1"/>
  </x:cols>
  <x:sheetData>
    <x:row r="1" ht="34" customHeight="1">
      <x:c r="A1" s="11" t="str">
        <x:v>source_version</x:v>
      </x:c>
      <x:c r="B1" s="12" t="str">
        <x:v>summary</x:v>
      </x:c>
      <x:c r="C1" s="12" t="str">
        <x:v>pattern_name</x:v>
      </x:c>
      <x:c r="D1" s="13" t="str">
        <x:v>count</x:v>
      </x:c>
    </x:row>
    <x:row r="2" ht="22" customHeight="1">
      <x:c r="A2" s="2" t="str">
        <x:v>Original code</x:v>
      </x:c>
      <x:c r="B2" s="2" t="str">
        <x:v>per_pattern</x:v>
      </x:c>
      <x:c r="C2" s="2" t="str">
        <x:v>Model-View-Controller</x:v>
      </x:c>
      <x:c r="D2" s="2" t="n">
        <x:v>1</x:v>
      </x:c>
    </x:row>
    <x:row r="3" ht="22" customHeight="1">
      <x:c r="A3" s="2" t="str">
        <x:v>Original code</x:v>
      </x:c>
      <x:c r="B3" s="2" t="str">
        <x:v>per_pattern</x:v>
      </x:c>
      <x:c r="C3" s="2" t="str">
        <x:v>Active Record</x:v>
      </x:c>
      <x:c r="D3" s="2" t="n">
        <x:v>1</x:v>
      </x:c>
    </x:row>
    <x:row r="4" ht="22" customHeight="1">
      <x:c r="A4" s="2" t="str">
        <x:v>Original code</x:v>
      </x:c>
      <x:c r="B4" s="2" t="str">
        <x:v>per_pattern</x:v>
      </x:c>
      <x:c r="C4" s="2" t="str">
        <x:v>Chain of Responsibility</x:v>
      </x:c>
      <x:c r="D4" s="2" t="n">
        <x:v>1</x:v>
      </x:c>
    </x:row>
    <x:row r="5" ht="22" customHeight="1">
      <x:c r="A5" s="2" t="str">
        <x:v>Original code</x:v>
      </x:c>
      <x:c r="B5" s="2" t="str">
        <x:v>per_pattern</x:v>
      </x:c>
      <x:c r="C5" s="2" t="str">
        <x:v>Template Method</x:v>
      </x:c>
      <x:c r="D5" s="2" t="n">
        <x:v>1</x:v>
      </x:c>
    </x:row>
    <x:row r="6" ht="22" customHeight="1">
      <x:c r="A6" s="2" t="str">
        <x:v>Original code</x:v>
      </x:c>
      <x:c r="B6" s="2" t="str">
        <x:v>per_pattern</x:v>
      </x:c>
      <x:c r="C6" s="2" t="str">
        <x:v>Facade</x:v>
      </x:c>
      <x:c r="D6" s="2" t="n">
        <x:v>1</x:v>
      </x:c>
    </x:row>
    <x:row r="7" ht="22" customHeight="1">
      <x:c r="A7" s="2" t="str">
        <x:v>Original code</x:v>
      </x:c>
      <x:c r="B7" s="2" t="str">
        <x:v>total_pattern_types</x:v>
      </x:c>
      <x:c r="C7" s="2" t="str"/>
      <x:c r="D7" s="2" t="n">
        <x:v>5</x:v>
      </x:c>
    </x:row>
    <x:row r="8" ht="22" customHeight="1">
      <x:c r="A8" s="2" t="str">
        <x:v>Original code</x:v>
      </x:c>
      <x:c r="B8" s="2" t="str">
        <x:v>total_pattern_instances</x:v>
      </x:c>
      <x:c r="C8" s="2" t="str"/>
      <x:c r="D8" s="2" t="n">
        <x:v>5</x:v>
      </x:c>
    </x:row>
    <x:row r="9" ht="22" customHeight="1">
      <x:c r="A9" s="2" t="str">
        <x:v>After CH01</x:v>
      </x:c>
      <x:c r="B9" s="2" t="str">
        <x:v>per_pattern</x:v>
      </x:c>
      <x:c r="C9" s="2" t="str">
        <x:v>Model-View-Controller</x:v>
      </x:c>
      <x:c r="D9" s="2" t="n">
        <x:v>1</x:v>
      </x:c>
    </x:row>
    <x:row r="10" ht="22" customHeight="1">
      <x:c r="A10" s="2" t="str">
        <x:v>After CH01</x:v>
      </x:c>
      <x:c r="B10" s="2" t="str">
        <x:v>per_pattern</x:v>
      </x:c>
      <x:c r="C10" s="2" t="str">
        <x:v>Active Record</x:v>
      </x:c>
      <x:c r="D10" s="2" t="n">
        <x:v>1</x:v>
      </x:c>
    </x:row>
    <x:row r="11" ht="22" customHeight="1">
      <x:c r="A11" s="2" t="str">
        <x:v>After CH01</x:v>
      </x:c>
      <x:c r="B11" s="2" t="str">
        <x:v>per_pattern</x:v>
      </x:c>
      <x:c r="C11" s="2" t="str">
        <x:v>Chain of Responsibility</x:v>
      </x:c>
      <x:c r="D11" s="2" t="n">
        <x:v>1</x:v>
      </x:c>
    </x:row>
    <x:row r="12" ht="22" customHeight="1">
      <x:c r="A12" s="2" t="str">
        <x:v>After CH01</x:v>
      </x:c>
      <x:c r="B12" s="2" t="str">
        <x:v>per_pattern</x:v>
      </x:c>
      <x:c r="C12" s="2" t="str">
        <x:v>Template Method</x:v>
      </x:c>
      <x:c r="D12" s="2" t="n">
        <x:v>1</x:v>
      </x:c>
    </x:row>
    <x:row r="13" ht="22" customHeight="1">
      <x:c r="A13" s="2" t="str">
        <x:v>After CH01</x:v>
      </x:c>
      <x:c r="B13" s="2" t="str">
        <x:v>per_pattern</x:v>
      </x:c>
      <x:c r="C13" s="2" t="str">
        <x:v>Facade</x:v>
      </x:c>
      <x:c r="D13" s="2" t="n">
        <x:v>1</x:v>
      </x:c>
    </x:row>
    <x:row r="14" ht="22" customHeight="1">
      <x:c r="A14" s="2" t="str">
        <x:v>After CH01</x:v>
      </x:c>
      <x:c r="B14" s="2" t="str">
        <x:v>per_pattern</x:v>
      </x:c>
      <x:c r="C14" s="2" t="str">
        <x:v>Strategy</x:v>
      </x:c>
      <x:c r="D14" s="2" t="n">
        <x:v>1</x:v>
      </x:c>
    </x:row>
    <x:row r="15" ht="22" customHeight="1">
      <x:c r="A15" s="2" t="str">
        <x:v>After CH01</x:v>
      </x:c>
      <x:c r="B15" s="2" t="str">
        <x:v>total_pattern_types</x:v>
      </x:c>
      <x:c r="C15" s="2" t="str"/>
      <x:c r="D15" s="2" t="n">
        <x:v>6</x:v>
      </x:c>
    </x:row>
    <x:row r="16" ht="22" customHeight="1">
      <x:c r="A16" s="2" t="str">
        <x:v>After CH01</x:v>
      </x:c>
      <x:c r="B16" s="2" t="str">
        <x:v>total_pattern_instances</x:v>
      </x:c>
      <x:c r="C16" s="2" t="str"/>
      <x:c r="D16" s="2" t="n">
        <x:v>6</x:v>
      </x:c>
    </x:row>
    <x:row r="17" ht="22" customHeight="1">
      <x:c r="A17" s="2" t="str">
        <x:v>After CH02</x:v>
      </x:c>
      <x:c r="B17" s="2" t="str">
        <x:v>per_pattern</x:v>
      </x:c>
      <x:c r="C17" s="2" t="str">
        <x:v>Model-View-Controller</x:v>
      </x:c>
      <x:c r="D17" s="2" t="n">
        <x:v>1</x:v>
      </x:c>
    </x:row>
    <x:row r="18" ht="22" customHeight="1">
      <x:c r="A18" s="2" t="str">
        <x:v>After CH02</x:v>
      </x:c>
      <x:c r="B18" s="2" t="str">
        <x:v>per_pattern</x:v>
      </x:c>
      <x:c r="C18" s="2" t="str">
        <x:v>Active Record</x:v>
      </x:c>
      <x:c r="D18" s="2" t="n">
        <x:v>1</x:v>
      </x:c>
    </x:row>
    <x:row r="19" ht="22" customHeight="1">
      <x:c r="A19" s="2" t="str">
        <x:v>After CH02</x:v>
      </x:c>
      <x:c r="B19" s="2" t="str">
        <x:v>per_pattern</x:v>
      </x:c>
      <x:c r="C19" s="2" t="str">
        <x:v>Chain of Responsibility</x:v>
      </x:c>
      <x:c r="D19" s="2" t="n">
        <x:v>1</x:v>
      </x:c>
    </x:row>
    <x:row r="20" ht="22" customHeight="1">
      <x:c r="A20" s="2" t="str">
        <x:v>After CH02</x:v>
      </x:c>
      <x:c r="B20" s="2" t="str">
        <x:v>per_pattern</x:v>
      </x:c>
      <x:c r="C20" s="2" t="str">
        <x:v>Template Method</x:v>
      </x:c>
      <x:c r="D20" s="2" t="n">
        <x:v>1</x:v>
      </x:c>
    </x:row>
    <x:row r="21" ht="22" customHeight="1">
      <x:c r="A21" s="2" t="str">
        <x:v>After CH02</x:v>
      </x:c>
      <x:c r="B21" s="2" t="str">
        <x:v>per_pattern</x:v>
      </x:c>
      <x:c r="C21" s="2" t="str">
        <x:v>Facade</x:v>
      </x:c>
      <x:c r="D21" s="2" t="n">
        <x:v>1</x:v>
      </x:c>
    </x:row>
    <x:row r="22" ht="22" customHeight="1">
      <x:c r="A22" s="2" t="str">
        <x:v>After CH02</x:v>
      </x:c>
      <x:c r="B22" s="2" t="str">
        <x:v>per_pattern</x:v>
      </x:c>
      <x:c r="C22" s="2" t="str">
        <x:v>Strategy</x:v>
      </x:c>
      <x:c r="D22" s="2" t="n">
        <x:v>1</x:v>
      </x:c>
    </x:row>
    <x:row r="23" ht="22" customHeight="1">
      <x:c r="A23" s="2" t="str">
        <x:v>After CH02</x:v>
      </x:c>
      <x:c r="B23" s="2" t="str">
        <x:v>per_pattern</x:v>
      </x:c>
      <x:c r="C23" s="2" t="str">
        <x:v>Specification</x:v>
      </x:c>
      <x:c r="D23" s="2" t="n">
        <x:v>1</x:v>
      </x:c>
    </x:row>
    <x:row r="24" ht="22" customHeight="1">
      <x:c r="A24" s="2" t="str">
        <x:v>After CH02</x:v>
      </x:c>
      <x:c r="B24" s="2" t="str">
        <x:v>total_pattern_types</x:v>
      </x:c>
      <x:c r="C24" s="2" t="str"/>
      <x:c r="D24" s="2" t="n">
        <x:v>7</x:v>
      </x:c>
    </x:row>
    <x:row r="25" ht="22" customHeight="1">
      <x:c r="A25" s="2" t="str">
        <x:v>After CH02</x:v>
      </x:c>
      <x:c r="B25" s="2" t="str">
        <x:v>total_pattern_instances</x:v>
      </x:c>
      <x:c r="C25" s="2" t="str"/>
      <x:c r="D25" s="2" t="n">
        <x:v>7</x:v>
      </x:c>
    </x:row>
    <x:row r="26" ht="22" customHeight="1">
      <x:c r="A26" s="2" t="str">
        <x:v>After CH03</x:v>
      </x:c>
      <x:c r="B26" s="2" t="str">
        <x:v>per_pattern</x:v>
      </x:c>
      <x:c r="C26" s="2" t="str">
        <x:v>Model-View-Controller</x:v>
      </x:c>
      <x:c r="D26" s="2" t="n">
        <x:v>1</x:v>
      </x:c>
    </x:row>
    <x:row r="27" ht="22" customHeight="1">
      <x:c r="A27" s="2" t="str">
        <x:v>After CH03</x:v>
      </x:c>
      <x:c r="B27" s="2" t="str">
        <x:v>per_pattern</x:v>
      </x:c>
      <x:c r="C27" s="2" t="str">
        <x:v>Active Record</x:v>
      </x:c>
      <x:c r="D27" s="2" t="n">
        <x:v>1</x:v>
      </x:c>
    </x:row>
    <x:row r="28" ht="22" customHeight="1">
      <x:c r="A28" s="2" t="str">
        <x:v>After CH03</x:v>
      </x:c>
      <x:c r="B28" s="2" t="str">
        <x:v>per_pattern</x:v>
      </x:c>
      <x:c r="C28" s="2" t="str">
        <x:v>Chain of Responsibility</x:v>
      </x:c>
      <x:c r="D28" s="2" t="n">
        <x:v>1</x:v>
      </x:c>
    </x:row>
    <x:row r="29" ht="22" customHeight="1">
      <x:c r="A29" s="2" t="str">
        <x:v>After CH03</x:v>
      </x:c>
      <x:c r="B29" s="2" t="str">
        <x:v>per_pattern</x:v>
      </x:c>
      <x:c r="C29" s="2" t="str">
        <x:v>Template Method</x:v>
      </x:c>
      <x:c r="D29" s="2" t="n">
        <x:v>1</x:v>
      </x:c>
    </x:row>
    <x:row r="30" ht="22" customHeight="1">
      <x:c r="A30" s="2" t="str">
        <x:v>After CH03</x:v>
      </x:c>
      <x:c r="B30" s="2" t="str">
        <x:v>per_pattern</x:v>
      </x:c>
      <x:c r="C30" s="2" t="str">
        <x:v>Facade</x:v>
      </x:c>
      <x:c r="D30" s="2" t="n">
        <x:v>1</x:v>
      </x:c>
    </x:row>
    <x:row r="31" ht="22" customHeight="1">
      <x:c r="A31" s="2" t="str">
        <x:v>After CH03</x:v>
      </x:c>
      <x:c r="B31" s="2" t="str">
        <x:v>per_pattern</x:v>
      </x:c>
      <x:c r="C31" s="2" t="str">
        <x:v>Strategy</x:v>
      </x:c>
      <x:c r="D31" s="2" t="n">
        <x:v>1</x:v>
      </x:c>
    </x:row>
    <x:row r="32" ht="22" customHeight="1">
      <x:c r="A32" s="2" t="str">
        <x:v>After CH03</x:v>
      </x:c>
      <x:c r="B32" s="2" t="str">
        <x:v>per_pattern</x:v>
      </x:c>
      <x:c r="C32" s="2" t="str">
        <x:v>Specification</x:v>
      </x:c>
      <x:c r="D32" s="2" t="n">
        <x:v>1</x:v>
      </x:c>
    </x:row>
    <x:row r="33" ht="22" customHeight="1">
      <x:c r="A33" s="2" t="str">
        <x:v>After CH03</x:v>
      </x:c>
      <x:c r="B33" s="2" t="str">
        <x:v>per_pattern</x:v>
      </x:c>
      <x:c r="C33" s="2" t="str">
        <x:v>State</x:v>
      </x:c>
      <x:c r="D33" s="2" t="n">
        <x:v>1</x:v>
      </x:c>
    </x:row>
    <x:row r="34" ht="22" customHeight="1">
      <x:c r="A34" s="2" t="str">
        <x:v>After CH03</x:v>
      </x:c>
      <x:c r="B34" s="2" t="str">
        <x:v>total_pattern_types</x:v>
      </x:c>
      <x:c r="C34" s="2" t="str"/>
      <x:c r="D34" s="2" t="n">
        <x:v>8</x:v>
      </x:c>
    </x:row>
    <x:row r="35" ht="22" customHeight="1">
      <x:c r="A35" s="2" t="str">
        <x:v>After CH03</x:v>
      </x:c>
      <x:c r="B35" s="2" t="str">
        <x:v>total_pattern_instances</x:v>
      </x:c>
      <x:c r="C35" s="2" t="str"/>
      <x:c r="D35" s="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a3383be8adf84d4b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8" hidden="0" customWidth="1"/>
    <x:col min="5" max="5" width="42" hidden="0" customWidth="1"/>
    <x:col min="6" max="6" width="46" hidden="0" customWidth="1"/>
    <x:col min="7" max="7" width="46" hidden="0" customWidth="1"/>
    <x:col min="8" max="8" width="20" hidden="0" customWidth="1"/>
    <x:col min="9" max="9" width="42" hidden="0" customWidth="1"/>
  </x:cols>
  <x:sheetData>
    <x:row r="1" ht="34" customHeight="1">
      <x:c r="A1" s="11" t="str">
        <x:v>source_version</x:v>
      </x:c>
      <x:c r="B1" s="12" t="str">
        <x:v>pattern_name</x:v>
      </x:c>
      <x:c r="C1" s="12" t="str">
        <x:v>pattern_type</x:v>
      </x:c>
      <x:c r="D1" s="12" t="str">
        <x:v>instance_name</x:v>
      </x:c>
      <x:c r="E1" s="12" t="str">
        <x:v>participant_roles</x:v>
      </x:c>
      <x:c r="F1" s="12" t="str">
        <x:v>source_locations</x:v>
      </x:c>
      <x:c r="G1" s="12" t="str">
        <x:v>intent_and_evidence</x:v>
      </x:c>
      <x:c r="H1" s="12" t="str">
        <x:v>status_after_change</x:v>
      </x:c>
      <x:c r="I1" s="13" t="str">
        <x:v>change_description</x:v>
      </x:c>
    </x:row>
    <x:row r="2" ht="58" customHeight="1">
      <x:c r="A2" s="2" t="str">
        <x:v>Original code</x:v>
      </x:c>
      <x:c r="B2" s="2" t="str">
        <x:v>Model-View-Controller</x:v>
      </x:c>
      <x:c r="C2" s="2" t="str">
        <x:v>Architecture</x:v>
      </x:c>
      <x:c r="D2" s="14" t="str">
        <x:v>Property Management Request Coordination</x:v>
      </x:c>
      <x:c r="E2" s="14" t="str">
        <x:v>Controller=PropertyController; Model=Property/Owner/Tenant; View=Blade templates</x:v>
      </x:c>
      <x:c r="F2" s="14" t="str">
        <x:v>Part1/code/app/Http/Controllers/PropertyController.php; Part1/code/app/Models/Property.php; Part1/code/resources/views/properties</x:v>
      </x:c>
      <x:c r="G2" s="14" t="str">
        <x:v>Routes dispatch to controllers that coordinate models and select views.</x:v>
      </x:c>
      <x:c r="H2" s="2" t="str">
        <x:v>baseline</x:v>
      </x:c>
      <x:c r="I2" s="14" t="str">
        <x:v>Public baseline collaboration.</x:v>
      </x:c>
    </x:row>
    <x:row r="3" ht="58" customHeight="1">
      <x:c r="A3" s="2" t="str">
        <x:v>Original code</x:v>
      </x:c>
      <x:c r="B3" s="2" t="str">
        <x:v>Active Record</x:v>
      </x:c>
      <x:c r="C3" s="2" t="str">
        <x:v>Enterprise Data Source</x:v>
      </x:c>
      <x:c r="D3" s="14" t="str">
        <x:v>Property and Rental Record Persistence</x:v>
      </x:c>
      <x:c r="E3" s="14" t="str">
        <x:v>ActiveRecord=Property/Owner/Tenant/RentReceipt; Relations=belongsTo/hasMany</x:v>
      </x:c>
      <x:c r="F3" s="14" t="str">
        <x:v>Part1/code/app/Models</x:v>
      </x:c>
      <x:c r="G3" s="14" t="str">
        <x:v>Eloquent models combine domain data with persistence operations.</x:v>
      </x:c>
      <x:c r="H3" s="2" t="str">
        <x:v>baseline</x:v>
      </x:c>
      <x:c r="I3" s="14" t="str">
        <x:v>Public baseline collaboration.</x:v>
      </x:c>
    </x:row>
    <x:row r="4" ht="58" customHeight="1">
      <x:c r="A4" s="2" t="str">
        <x:v>Original code</x:v>
      </x:c>
      <x:c r="B4" s="2" t="str">
        <x:v>Chain of Responsibility</x:v>
      </x:c>
      <x:c r="C4" s="2" t="str">
        <x:v>Behavioral</x:v>
      </x:c>
      <x:c r="D4" s="14" t="str">
        <x:v>HTTP Authentication and Security Pipeline</x:v>
      </x:c>
      <x:c r="E4" s="14" t="str">
        <x:v>Handlers=auth/RoleMiddleware/SecurityHeaders; Client=route and bootstrap configuration</x:v>
      </x:c>
      <x:c r="F4" s="14" t="str">
        <x:v>Part1/code/app/Http/Middleware; Part1/code/bootstrap/app.php; Part1/code/routes/web.php</x:v>
      </x:c>
      <x:c r="G4" s="14" t="str">
        <x:v>Middleware passes or stops requests and decorates downstream responses.</x:v>
      </x:c>
      <x:c r="H4" s="2" t="str">
        <x:v>baseline</x:v>
      </x:c>
      <x:c r="I4" s="14" t="str">
        <x:v>Public baseline collaboration.</x:v>
      </x:c>
    </x:row>
    <x:row r="5" ht="58" customHeight="1">
      <x:c r="A5" s="2" t="str">
        <x:v>Original code</x:v>
      </x:c>
      <x:c r="B5" s="2" t="str">
        <x:v>Template Method</x:v>
      </x:c>
      <x:c r="C5" s="2" t="str">
        <x:v>Behavioral</x:v>
      </x:c>
      <x:c r="D5" s="14" t="str">
        <x:v>Form Request Validation Lifecycle</x:v>
      </x:c>
      <x:c r="E5" s="14" t="str">
        <x:v>Template=FormRequest; Hooks=authorize/rules; Concrete requests=StoreProperty/StoreTenant/StoreRentReceipt</x:v>
      </x:c>
      <x:c r="F5" s="14" t="str">
        <x:v>Part1/code/app/Http/Requests</x:v>
      </x:c>
      <x:c r="G5" s="14" t="str">
        <x:v>Laravel owns the lifecycle while subclasses override validation hooks.</x:v>
      </x:c>
      <x:c r="H5" s="2" t="str">
        <x:v>baseline</x:v>
      </x:c>
      <x:c r="I5" s="14" t="str">
        <x:v>Public baseline collaboration.</x:v>
      </x:c>
    </x:row>
    <x:row r="6" ht="58" customHeight="1">
      <x:c r="A6" s="2" t="str">
        <x:v>Original code</x:v>
      </x:c>
      <x:c r="B6" s="2" t="str">
        <x:v>Facade</x:v>
      </x:c>
      <x:c r="C6" s="2" t="str">
        <x:v>Structural</x:v>
      </x:c>
      <x:c r="D6" s="14" t="str">
        <x:v>Tenant Registration Infrastructure Access</x:v>
      </x:c>
      <x:c r="E6" s="14" t="str">
        <x:v>Facades=DB/Hash; Client=TenantController</x:v>
      </x:c>
      <x:c r="F6" s="14" t="str">
        <x:v>Part1/code/app/Http/Controllers/TenantController.php:28-45</x:v>
      </x:c>
      <x:c r="G6" s="14" t="str">
        <x:v>Static proxies hide service-container lookup for transactions and hashing.</x:v>
      </x:c>
      <x:c r="H6" s="2" t="str">
        <x:v>baseline</x:v>
      </x:c>
      <x:c r="I6" s="14" t="str">
        <x:v>Public baseline collaboration.</x:v>
      </x:c>
    </x:row>
    <x:row r="7" ht="58" customHeight="1">
      <x:c r="A7" s="2" t="str">
        <x:v>After CH01</x:v>
      </x:c>
      <x:c r="B7" s="2" t="str">
        <x:v>Model-View-Controller</x:v>
      </x:c>
      <x:c r="C7" s="2" t="str">
        <x:v>Architecture</x:v>
      </x:c>
      <x:c r="D7" s="14" t="str">
        <x:v>Property Management Request Coordination</x:v>
      </x:c>
      <x:c r="E7" s="14" t="str">
        <x:v>Controller=PropertyController; Model=Eloquent models; View=Blade templates</x:v>
      </x:c>
      <x:c r="F7" s="14" t="str">
        <x:v>Part2/code/app/Http/Controllers; Part2/code/app/Models; Part2/code/resources/views</x:v>
      </x:c>
      <x:c r="G7" s="14" t="str">
        <x:v>Request coordination remains active.</x:v>
      </x:c>
      <x:c r="H7" s="2" t="str">
        <x:v>preserved</x:v>
      </x:c>
      <x:c r="I7" s="14" t="str">
        <x:v>No participant change.</x:v>
      </x:c>
    </x:row>
    <x:row r="8" ht="58" customHeight="1">
      <x:c r="A8" s="2" t="str">
        <x:v>After CH01</x:v>
      </x:c>
      <x:c r="B8" s="2" t="str">
        <x:v>Active Record</x:v>
      </x:c>
      <x:c r="C8" s="2" t="str">
        <x:v>Enterprise Data Source</x:v>
      </x:c>
      <x:c r="D8" s="14" t="str">
        <x:v>Property and Rental Record Persistence</x:v>
      </x:c>
      <x:c r="E8" s="14" t="str">
        <x:v>ActiveRecord=Property/Owner/Tenant/RentReceipt</x:v>
      </x:c>
      <x:c r="F8" s="14" t="str">
        <x:v>Part2/code/app/Models</x:v>
      </x:c>
      <x:c r="G8" s="14" t="str">
        <x:v>Direct Eloquent persistence remains active.</x:v>
      </x:c>
      <x:c r="H8" s="2" t="str">
        <x:v>preserved</x:v>
      </x:c>
      <x:c r="I8" s="14" t="str">
        <x:v>No participant change.</x:v>
      </x:c>
    </x:row>
    <x:row r="9" ht="58" customHeight="1">
      <x:c r="A9" s="2" t="str">
        <x:v>After CH01</x:v>
      </x:c>
      <x:c r="B9" s="2" t="str">
        <x:v>Chain of Responsibility</x:v>
      </x:c>
      <x:c r="C9" s="2" t="str">
        <x:v>Behavioral</x:v>
      </x:c>
      <x:c r="D9" s="14" t="str">
        <x:v>HTTP Authentication and Security Pipeline</x:v>
      </x:c>
      <x:c r="E9" s="14" t="str">
        <x:v>Handlers=auth/RoleMiddleware/SecurityHeaders</x:v>
      </x:c>
      <x:c r="F9" s="14" t="str">
        <x:v>Part2/code/app/Http/Middleware; Part2/code/bootstrap/app.php</x:v>
      </x:c>
      <x:c r="G9" s="14" t="str">
        <x:v>Middleware pipeline remains active.</x:v>
      </x:c>
      <x:c r="H9" s="2" t="str">
        <x:v>preserved</x:v>
      </x:c>
      <x:c r="I9" s="14" t="str">
        <x:v>No participant change.</x:v>
      </x:c>
    </x:row>
    <x:row r="10" ht="58" customHeight="1">
      <x:c r="A10" s="2" t="str">
        <x:v>After CH01</x:v>
      </x:c>
      <x:c r="B10" s="2" t="str">
        <x:v>Template Method</x:v>
      </x:c>
      <x:c r="C10" s="2" t="str">
        <x:v>Behavioral</x:v>
      </x:c>
      <x:c r="D10" s="14" t="str">
        <x:v>Form Request Validation Lifecycle</x:v>
      </x:c>
      <x:c r="E10" s="14" t="str">
        <x:v>Template=FormRequest; Concrete requests include StoreRentReceiptRequest</x:v>
      </x:c>
      <x:c r="F10" s="14" t="str">
        <x:v>Part2/code/app/Http/Requests</x:v>
      </x:c>
      <x:c r="G10" s="14" t="str">
        <x:v>Validation lifecycle is extended with dynamic-pricing inputs.</x:v>
      </x:c>
      <x:c r="H10" s="2" t="str">
        <x:v>extended</x:v>
      </x:c>
      <x:c r="I10" s="14" t="str">
        <x:v>StoreRentReceiptRequest adds optional pricing context validation.</x:v>
      </x:c>
    </x:row>
    <x:row r="11" ht="58" customHeight="1">
      <x:c r="A11" s="2" t="str">
        <x:v>After CH01</x:v>
      </x:c>
      <x:c r="B11" s="2" t="str">
        <x:v>Facade</x:v>
      </x:c>
      <x:c r="C11" s="2" t="str">
        <x:v>Structural</x:v>
      </x:c>
      <x:c r="D11" s="14" t="str">
        <x:v>Tenant Registration Infrastructure Access</x:v>
      </x:c>
      <x:c r="E11" s="14" t="str">
        <x:v>Facades=DB/Hash; Client=TenantController</x:v>
      </x:c>
      <x:c r="F11" s="14" t="str">
        <x:v>Part2/code/app/Http/Controllers/TenantController.php</x:v>
      </x:c>
      <x:c r="G11" s="14" t="str">
        <x:v>Facade collaboration remains active.</x:v>
      </x:c>
      <x:c r="H11" s="2" t="str">
        <x:v>preserved</x:v>
      </x:c>
      <x:c r="I11" s="14" t="str">
        <x:v>No participant change.</x:v>
      </x:c>
    </x:row>
    <x:row r="12" ht="58" customHeight="1">
      <x:c r="A12" s="2" t="str">
        <x:v>After CH01</x:v>
      </x:c>
      <x:c r="B12" s="2" t="str">
        <x:v>Strategy</x:v>
      </x:c>
      <x:c r="C12" s="2" t="str">
        <x:v>Behavioral</x:v>
      </x:c>
      <x:c r="D12" s="14" t="str">
        <x:v>Dynamic Rent Pricing</x:v>
      </x:c>
      <x:c r="E12" s="14" t="str">
        <x:v>Strategy=PricingStrategy; ConcreteStrategy=BasePricing/DynamicPricing; Context=PricingService; ParameterObject=PricingContext; Client=RentReceiptController</x:v>
      </x:c>
      <x:c r="F12" s="14" t="str">
        <x:v>Part2/code/app/Domain/Pricing; Part2/code/app/Http/Controllers/RentReceiptController.php; Part2/code/app/Providers/AppServiceProvider.php</x:v>
      </x:c>
      <x:c r="G12" s="14" t="str">
        <x:v>Receipt creation delegates rent calculation to a container-bound interchangeable algorithm.</x:v>
      </x:c>
      <x:c r="H12" s="2" t="str">
        <x:v>newly_introduced</x:v>
      </x:c>
      <x:c r="I12" s="14" t="str">
        <x:v>Added demand season and lease-term pricing without branching on strategy type.</x:v>
      </x:c>
    </x:row>
    <x:row r="13" ht="58" customHeight="1">
      <x:c r="A13" s="2" t="str">
        <x:v>After CH02</x:v>
      </x:c>
      <x:c r="B13" s="2" t="str">
        <x:v>Model-View-Controller</x:v>
      </x:c>
      <x:c r="C13" s="2" t="str">
        <x:v>Architecture</x:v>
      </x:c>
      <x:c r="D13" s="14" t="str">
        <x:v>Property Management Request Coordination</x:v>
      </x:c>
      <x:c r="E13" s="14" t="str">
        <x:v>Controller=PropertyController; Model=Eloquent models; View=Blade templates</x:v>
      </x:c>
      <x:c r="F13" s="14" t="str">
        <x:v>Part2/code/app/Http/Controllers/PropertyController.php; Part2/code/app/Models; Part2/code/resources/views</x:v>
      </x:c>
      <x:c r="G13" s="14" t="str">
        <x:v>Controller now translates filter request data into specifications.</x:v>
      </x:c>
      <x:c r="H13" s="2" t="str">
        <x:v>extended</x:v>
      </x:c>
      <x:c r="I13" s="14" t="str">
        <x:v>Property listing accepts optional advanced filters.</x:v>
      </x:c>
    </x:row>
    <x:row r="14" ht="58" customHeight="1">
      <x:c r="A14" s="2" t="str">
        <x:v>After CH02</x:v>
      </x:c>
      <x:c r="B14" s="2" t="str">
        <x:v>Active Record</x:v>
      </x:c>
      <x:c r="C14" s="2" t="str">
        <x:v>Enterprise Data Source</x:v>
      </x:c>
      <x:c r="D14" s="14" t="str">
        <x:v>Property and Rental Record Persistence</x:v>
      </x:c>
      <x:c r="E14" s="14" t="str">
        <x:v>ActiveRecord=Property/Owner/Tenant/RentReceipt</x:v>
      </x:c>
      <x:c r="F14" s="14" t="str">
        <x:v>Part2/code/app/Models</x:v>
      </x:c>
      <x:c r="G14" s="14" t="str">
        <x:v>Eloquent persistence remains active.</x:v>
      </x:c>
      <x:c r="H14" s="2" t="str">
        <x:v>preserved</x:v>
      </x:c>
      <x:c r="I14" s="14" t="str">
        <x:v>No participant change.</x:v>
      </x:c>
    </x:row>
    <x:row r="15" ht="58" customHeight="1">
      <x:c r="A15" s="2" t="str">
        <x:v>After CH02</x:v>
      </x:c>
      <x:c r="B15" s="2" t="str">
        <x:v>Chain of Responsibility</x:v>
      </x:c>
      <x:c r="C15" s="2" t="str">
        <x:v>Behavioral</x:v>
      </x:c>
      <x:c r="D15" s="14" t="str">
        <x:v>HTTP Authentication and Security Pipeline</x:v>
      </x:c>
      <x:c r="E15" s="14" t="str">
        <x:v>Handlers=auth/RoleMiddleware/SecurityHeaders</x:v>
      </x:c>
      <x:c r="F15" s="14" t="str">
        <x:v>Part2/code/app/Http/Middleware; Part2/code/bootstrap/app.php</x:v>
      </x:c>
      <x:c r="G15" s="14" t="str">
        <x:v>Middleware pipeline remains active.</x:v>
      </x:c>
      <x:c r="H15" s="2" t="str">
        <x:v>preserved</x:v>
      </x:c>
      <x:c r="I15" s="14" t="str">
        <x:v>No participant change.</x:v>
      </x:c>
    </x:row>
    <x:row r="16" ht="58" customHeight="1">
      <x:c r="A16" s="2" t="str">
        <x:v>After CH02</x:v>
      </x:c>
      <x:c r="B16" s="2" t="str">
        <x:v>Template Method</x:v>
      </x:c>
      <x:c r="C16" s="2" t="str">
        <x:v>Behavioral</x:v>
      </x:c>
      <x:c r="D16" s="14" t="str">
        <x:v>Form Request Validation Lifecycle</x:v>
      </x:c>
      <x:c r="E16" s="14" t="str">
        <x:v>Template=FormRequest; Concrete requests</x:v>
      </x:c>
      <x:c r="F16" s="14" t="str">
        <x:v>Part2/code/app/Http/Requests</x:v>
      </x:c>
      <x:c r="G16" s="14" t="str">
        <x:v>Validation lifecycle remains active.</x:v>
      </x:c>
      <x:c r="H16" s="2" t="str">
        <x:v>preserved</x:v>
      </x:c>
      <x:c r="I16" s="14" t="str">
        <x:v>CH01 validation extension retained.</x:v>
      </x:c>
    </x:row>
    <x:row r="17" ht="58" customHeight="1">
      <x:c r="A17" s="2" t="str">
        <x:v>After CH02</x:v>
      </x:c>
      <x:c r="B17" s="2" t="str">
        <x:v>Facade</x:v>
      </x:c>
      <x:c r="C17" s="2" t="str">
        <x:v>Structural</x:v>
      </x:c>
      <x:c r="D17" s="14" t="str">
        <x:v>Tenant Registration Infrastructure Access</x:v>
      </x:c>
      <x:c r="E17" s="14" t="str">
        <x:v>Facades=DB/Hash; Client=TenantController</x:v>
      </x:c>
      <x:c r="F17" s="14" t="str">
        <x:v>Part2/code/app/Http/Controllers/TenantController.php</x:v>
      </x:c>
      <x:c r="G17" s="14" t="str">
        <x:v>Facade collaboration remains active.</x:v>
      </x:c>
      <x:c r="H17" s="2" t="str">
        <x:v>preserved</x:v>
      </x:c>
      <x:c r="I17" s="14" t="str">
        <x:v>No participant change.</x:v>
      </x:c>
    </x:row>
    <x:row r="18" ht="58" customHeight="1">
      <x:c r="A18" s="2" t="str">
        <x:v>After CH02</x:v>
      </x:c>
      <x:c r="B18" s="2" t="str">
        <x:v>Strategy</x:v>
      </x:c>
      <x:c r="C18" s="2" t="str">
        <x:v>Behavioral</x:v>
      </x:c>
      <x:c r="D18" s="14" t="str">
        <x:v>Dynamic Rent Pricing</x:v>
      </x:c>
      <x:c r="E18" s="14" t="str">
        <x:v>Strategy=PricingStrategy; ConcreteStrategy=BasePricing/DynamicPricing; Context=PricingService</x:v>
      </x:c>
      <x:c r="F18" s="14" t="str">
        <x:v>Part2/code/app/Domain/Pricing</x:v>
      </x:c>
      <x:c r="G18" s="14" t="str">
        <x:v>Pricing variation remains encapsulated.</x:v>
      </x:c>
      <x:c r="H18" s="2" t="str">
        <x:v>preserved</x:v>
      </x:c>
      <x:c r="I18" s="14" t="str">
        <x:v>No participant change.</x:v>
      </x:c>
    </x:row>
    <x:row r="19" ht="58" customHeight="1">
      <x:c r="A19" s="2" t="str">
        <x:v>After CH02</x:v>
      </x:c>
      <x:c r="B19" s="2" t="str">
        <x:v>Specification</x:v>
      </x:c>
      <x:c r="C19" s="2" t="str">
        <x:v>Domain Pattern</x:v>
      </x:c>
      <x:c r="D19" s="14" t="str">
        <x:v>Advanced Property Filtering</x:v>
      </x:c>
      <x:c r="E19" s="14" t="str">
        <x:v>Specification=PropertySpecification; Composite=AndSpecification; ConcreteSpecifications=AddressContains/MaxMonthlyRent/Status; Client=PropertyFilterService/PropertyController</x:v>
      </x:c>
      <x:c r="F19" s="14" t="str">
        <x:v>Part2/code/app/Domain/Search; Part2/code/app/Http/Controllers/PropertyController.php</x:v>
      </x:c>
      <x:c r="G19" s="14" t="str">
        <x:v>Independent predicates compose without a growing nested condition chain.</x:v>
      </x:c>
      <x:c r="H19" s="2" t="str">
        <x:v>newly_introduced</x:v>
      </x:c>
      <x:c r="I19" s="14" t="str">
        <x:v>Added reusable address rent and availability rules.</x:v>
      </x:c>
    </x:row>
    <x:row r="20" ht="58" customHeight="1">
      <x:c r="A20" s="2" t="str">
        <x:v>After CH03</x:v>
      </x:c>
      <x:c r="B20" s="2" t="str">
        <x:v>Model-View-Controller</x:v>
      </x:c>
      <x:c r="C20" s="2" t="str">
        <x:v>Architecture</x:v>
      </x:c>
      <x:c r="D20" s="14" t="str">
        <x:v>Property Management Request Coordination</x:v>
      </x:c>
      <x:c r="E20" s="14" t="str">
        <x:v>Controller=PropertyController; Model=Eloquent models; View=Blade templates</x:v>
      </x:c>
      <x:c r="F20" s="14" t="str">
        <x:v>Part2/code/app/Http/Controllers; Part2/code/app/Models; Part2/code/resources/views</x:v>
      </x:c>
      <x:c r="G20" s="14" t="str">
        <x:v>Request coordination remains active.</x:v>
      </x:c>
      <x:c r="H20" s="2" t="str">
        <x:v>preserved</x:v>
      </x:c>
      <x:c r="I20" s="14" t="str">
        <x:v>CH02 extension retained.</x:v>
      </x:c>
    </x:row>
    <x:row r="21" ht="58" customHeight="1">
      <x:c r="A21" s="2" t="str">
        <x:v>After CH03</x:v>
      </x:c>
      <x:c r="B21" s="2" t="str">
        <x:v>Active Record</x:v>
      </x:c>
      <x:c r="C21" s="2" t="str">
        <x:v>Enterprise Data Source</x:v>
      </x:c>
      <x:c r="D21" s="14" t="str">
        <x:v>Property and Rental Record Persistence</x:v>
      </x:c>
      <x:c r="E21" s="14" t="str">
        <x:v>ActiveRecord=Property/Owner/Tenant/RentReceipt/DigitalContract</x:v>
      </x:c>
      <x:c r="F21" s="14" t="str">
        <x:v>Part2/code/app/Models</x:v>
      </x:c>
      <x:c r="G21" s="14" t="str">
        <x:v>DigitalContract adds an Eloquent persistence participant.</x:v>
      </x:c>
      <x:c r="H21" s="2" t="str">
        <x:v>extended</x:v>
      </x:c>
      <x:c r="I21" s="14" t="str">
        <x:v>Added contract persistence model and migration.</x:v>
      </x:c>
    </x:row>
    <x:row r="22" ht="58" customHeight="1">
      <x:c r="A22" s="2" t="str">
        <x:v>After CH03</x:v>
      </x:c>
      <x:c r="B22" s="2" t="str">
        <x:v>Chain of Responsibility</x:v>
      </x:c>
      <x:c r="C22" s="2" t="str">
        <x:v>Behavioral</x:v>
      </x:c>
      <x:c r="D22" s="14" t="str">
        <x:v>HTTP Authentication and Security Pipeline</x:v>
      </x:c>
      <x:c r="E22" s="14" t="str">
        <x:v>Handlers=auth/RoleMiddleware/SecurityHeaders</x:v>
      </x:c>
      <x:c r="F22" s="14" t="str">
        <x:v>Part2/code/app/Http/Middleware; Part2/code/bootstrap/app.php</x:v>
      </x:c>
      <x:c r="G22" s="14" t="str">
        <x:v>Middleware pipeline remains active.</x:v>
      </x:c>
      <x:c r="H22" s="2" t="str">
        <x:v>preserved</x:v>
      </x:c>
      <x:c r="I22" s="14" t="str">
        <x:v>No participant change.</x:v>
      </x:c>
    </x:row>
    <x:row r="23" ht="58" customHeight="1">
      <x:c r="A23" s="2" t="str">
        <x:v>After CH03</x:v>
      </x:c>
      <x:c r="B23" s="2" t="str">
        <x:v>Template Method</x:v>
      </x:c>
      <x:c r="C23" s="2" t="str">
        <x:v>Behavioral</x:v>
      </x:c>
      <x:c r="D23" s="14" t="str">
        <x:v>Form Request Validation Lifecycle</x:v>
      </x:c>
      <x:c r="E23" s="14" t="str">
        <x:v>Template=FormRequest; Concrete requests</x:v>
      </x:c>
      <x:c r="F23" s="14" t="str">
        <x:v>Part2/code/app/Http/Requests</x:v>
      </x:c>
      <x:c r="G23" s="14" t="str">
        <x:v>Validation lifecycle remains active.</x:v>
      </x:c>
      <x:c r="H23" s="2" t="str">
        <x:v>preserved</x:v>
      </x:c>
      <x:c r="I23" s="14" t="str">
        <x:v>CH01 extension retained.</x:v>
      </x:c>
    </x:row>
    <x:row r="24" ht="58" customHeight="1">
      <x:c r="A24" s="2" t="str">
        <x:v>After CH03</x:v>
      </x:c>
      <x:c r="B24" s="2" t="str">
        <x:v>Facade</x:v>
      </x:c>
      <x:c r="C24" s="2" t="str">
        <x:v>Structural</x:v>
      </x:c>
      <x:c r="D24" s="14" t="str">
        <x:v>Tenant Registration Infrastructure Access</x:v>
      </x:c>
      <x:c r="E24" s="14" t="str">
        <x:v>Facades=DB/Hash; Client=TenantController</x:v>
      </x:c>
      <x:c r="F24" s="14" t="str">
        <x:v>Part2/code/app/Http/Controllers/TenantController.php</x:v>
      </x:c>
      <x:c r="G24" s="14" t="str">
        <x:v>Facade collaboration remains active.</x:v>
      </x:c>
      <x:c r="H24" s="2" t="str">
        <x:v>preserved</x:v>
      </x:c>
      <x:c r="I24" s="14" t="str">
        <x:v>No participant change.</x:v>
      </x:c>
    </x:row>
    <x:row r="25" ht="58" customHeight="1">
      <x:c r="A25" s="2" t="str">
        <x:v>After CH03</x:v>
      </x:c>
      <x:c r="B25" s="2" t="str">
        <x:v>Strategy</x:v>
      </x:c>
      <x:c r="C25" s="2" t="str">
        <x:v>Behavioral</x:v>
      </x:c>
      <x:c r="D25" s="14" t="str">
        <x:v>Dynamic Rent Pricing</x:v>
      </x:c>
      <x:c r="E25" s="14" t="str">
        <x:v>Strategy=PricingStrategy; ConcreteStrategy=BasePricing/DynamicPricing; Context=PricingService</x:v>
      </x:c>
      <x:c r="F25" s="14" t="str">
        <x:v>Part2/code/app/Domain/Pricing</x:v>
      </x:c>
      <x:c r="G25" s="14" t="str">
        <x:v>Pricing variation remains encapsulated.</x:v>
      </x:c>
      <x:c r="H25" s="2" t="str">
        <x:v>preserved</x:v>
      </x:c>
      <x:c r="I25" s="14" t="str">
        <x:v>No participant change.</x:v>
      </x:c>
    </x:row>
    <x:row r="26" ht="58" customHeight="1">
      <x:c r="A26" s="2" t="str">
        <x:v>After CH03</x:v>
      </x:c>
      <x:c r="B26" s="2" t="str">
        <x:v>Specification</x:v>
      </x:c>
      <x:c r="C26" s="2" t="str">
        <x:v>Domain Pattern</x:v>
      </x:c>
      <x:c r="D26" s="14" t="str">
        <x:v>Advanced Property Filtering</x:v>
      </x:c>
      <x:c r="E26" s="14" t="str">
        <x:v>Specification=PropertySpecification; Composite=AndSpecification; ConcreteSpecifications=three rules; Client=PropertyFilterService/PropertyController</x:v>
      </x:c>
      <x:c r="F26" s="14" t="str">
        <x:v>Part2/code/app/Domain/Search; Part2/code/app/Http/Controllers/PropertyController.php</x:v>
      </x:c>
      <x:c r="G26" s="14" t="str">
        <x:v>Composed filtering remains reusable.</x:v>
      </x:c>
      <x:c r="H26" s="2" t="str">
        <x:v>preserved</x:v>
      </x:c>
      <x:c r="I26" s="14" t="str">
        <x:v>No participant change.</x:v>
      </x:c>
    </x:row>
    <x:row r="27" ht="58" customHeight="1">
      <x:c r="A27" s="2" t="str">
        <x:v>After CH03</x:v>
      </x:c>
      <x:c r="B27" s="2" t="str">
        <x:v>State</x:v>
      </x:c>
      <x:c r="C27" s="2" t="str">
        <x:v>Behavioral</x:v>
      </x:c>
      <x:c r="D27" s="14" t="str">
        <x:v>Digital Contract Lifecycle</x:v>
      </x:c>
      <x:c r="E27" s="14" t="str">
        <x:v>State=ContractState; AbstractState=AbstractContractState; ConcreteStates=Draft/Sent/Signed/Expired; Context=Domain DigitalContract; Persistence=Models DigitalContract</x:v>
      </x:c>
      <x:c r="F27" s="14" t="str">
        <x:v>Part2/code/app/Domain/Contracts; Part2/code/app/Models/DigitalContract.php; Part2/code/database/migrations/2026_10_11_000000_create_digital_contracts_table.php</x:v>
      </x:c>
      <x:c r="G27" s="14" t="str">
        <x:v>The domain contract delegates allowed transitions to its current state and persists hashes/status separately.</x:v>
      </x:c>
      <x:c r="H27" s="2" t="str">
        <x:v>newly_introduced</x:v>
      </x:c>
      <x:c r="I27" s="14" t="str">
        <x:v>Added Draft to Sent to Signed/Expired lifecycle and SHA-256 identifiers.</x:v>
      </x:c>
    </x:row>
  </x:sheetData>
  <x:pageMargins left="0.7" right="0.7" top="0.75" bottom="0.75" header="0.3" footer="0.3"/>
  <x:tableParts count="1">
    <x:tablePart xmlns:r="http://schemas.openxmlformats.org/officeDocument/2006/relationships" r:id="Rfe2a811fff654e08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5" hidden="0" customWidth="1"/>
    <x:col min="4" max="4" width="38" hidden="0" customWidth="1"/>
    <x:col min="5" max="5" width="12" hidden="0" customWidth="1"/>
    <x:col min="6" max="6" width="14" hidden="0" customWidth="1"/>
    <x:col min="7" max="7" width="27" hidden="0" customWidth="1"/>
    <x:col min="8" max="8" width="48" hidden="0" customWidth="1"/>
    <x:col min="9" max="9" width="16" hidden="0" customWidth="1"/>
    <x:col min="10" max="10" width="18" hidden="0" customWidth="1"/>
    <x:col min="11" max="11" width="48" hidden="0" customWidth="1"/>
  </x:cols>
  <x:sheetData>
    <x:row r="1" ht="34" customHeight="1">
      <x:c r="A1" s="11" t="str">
        <x:v>pattern_name</x:v>
      </x:c>
      <x:c r="B1" s="12" t="str">
        <x:v>instance_name</x:v>
      </x:c>
      <x:c r="C1" s="12" t="str">
        <x:v>language</x:v>
      </x:c>
      <x:c r="D1" s="12" t="str">
        <x:v>snippet_path</x:v>
      </x:c>
      <x:c r="E1" s="12" t="str">
        <x:v>source_loc</x:v>
      </x:c>
      <x:c r="F1" s="12" t="str">
        <x:v>max_function_cc</x:v>
      </x:c>
      <x:c r="G1" s="12" t="str">
        <x:v>runtime_compiler</x:v>
      </x:c>
      <x:c r="H1" s="12" t="str">
        <x:v>test_command</x:v>
      </x:c>
      <x:c r="I1" s="12" t="str">
        <x:v>test_result</x:v>
      </x:c>
      <x:c r="J1" s="12" t="str">
        <x:v>median_process_ms</x:v>
      </x:c>
      <x:c r="K1" s="13" t="str">
        <x:v>language_notes</x:v>
      </x:c>
    </x:row>
    <x:row r="2" ht="52" customHeight="1">
      <x:c r="A2" s="2" t="str">
        <x:v>Strategy</x:v>
      </x:c>
      <x:c r="B2" s="14" t="str">
        <x:v>Dynamic Rent Pricing</x:v>
      </x:c>
      <x:c r="C2" s="2" t="str">
        <x:v>Java</x:v>
      </x:c>
      <x:c r="D2" s="14" t="str">
        <x:v>Part3/strategy/java/Pricing.java</x:v>
      </x:c>
      <x:c r="E2" s="15" t="n">
        <x:v>38</x:v>
      </x:c>
      <x:c r="F2" s="15" t="n">
        <x:v>4</x:v>
      </x:c>
      <x:c r="G2" s="14" t="str">
        <x:v>OpenJDK 17.0.20.1</x:v>
      </x:c>
      <x:c r="H2" s="14" t="str">
        <x:v>javac Pricing.java PricingTest.java &amp;&amp; java PricingTest</x:v>
      </x:c>
      <x:c r="I2" s="14" t="str">
        <x:v>6/6 passed</x:v>
      </x:c>
      <x:c r="J2" s="15" t="n">
        <x:v>64</x:v>
      </x:c>
      <x:c r="K2" s="14" t="str">
        <x:v>Nominal interface and records; explicit checked construction and runtime strategy replacement.</x:v>
      </x:c>
    </x:row>
    <x:row r="3" ht="52" customHeight="1">
      <x:c r="A3" s="2" t="str">
        <x:v>Strategy</x:v>
      </x:c>
      <x:c r="B3" s="14" t="str">
        <x:v>Dynamic Rent Pricing</x:v>
      </x:c>
      <x:c r="C3" s="2" t="str">
        <x:v>Python</x:v>
      </x:c>
      <x:c r="D3" s="14" t="str">
        <x:v>Part3/strategy/python/pricing.py</x:v>
      </x:c>
      <x:c r="E3" s="15" t="n">
        <x:v>35</x:v>
      </x:c>
      <x:c r="F3" s="15" t="n">
        <x:v>4</x:v>
      </x:c>
      <x:c r="G3" s="14" t="str">
        <x:v>Python 3.12.3</x:v>
      </x:c>
      <x:c r="H3" s="14" t="str">
        <x:v>cd Part3/strategy/python &amp;&amp; python3 test_pricing.py</x:v>
      </x:c>
      <x:c r="I3" s="14" t="str">
        <x:v>6/6 passed</x:v>
      </x:c>
      <x:c r="J3" s="15" t="n">
        <x:v>43</x:v>
      </x:c>
      <x:c r="K3" s="14" t="str">
        <x:v>Protocol gives structural typing; dataclasses reduce participant boilerplate.</x:v>
      </x:c>
    </x:row>
    <x:row r="4" ht="52" customHeight="1">
      <x:c r="A4" s="2" t="str">
        <x:v>Strategy</x:v>
      </x:c>
      <x:c r="B4" s="14" t="str">
        <x:v>Dynamic Rent Pricing</x:v>
      </x:c>
      <x:c r="C4" s="2" t="str">
        <x:v>JavaScript</x:v>
      </x:c>
      <x:c r="D4" s="14" t="str">
        <x:v>Part3/strategy/javascript/pricing.js</x:v>
      </x:c>
      <x:c r="E4" s="15" t="n">
        <x:v>33</x:v>
      </x:c>
      <x:c r="F4" s="15" t="n">
        <x:v>4</x:v>
      </x:c>
      <x:c r="G4" s="14" t="str">
        <x:v>Node.js 24.14.1</x:v>
      </x:c>
      <x:c r="H4" s="14" t="str">
        <x:v>node Part3/strategy/javascript/test_pricing.mjs</x:v>
      </x:c>
      <x:c r="I4" s="14" t="str">
        <x:v>6/6 passed</x:v>
      </x:c>
      <x:c r="J4" s="15" t="n">
        <x:v>36</x:v>
      </x:c>
      <x:c r="K4" s="14" t="str">
        <x:v>Duck typing keeps the Strategy role implicit at runtime; classes preserve role names.</x:v>
      </x:c>
    </x:row>
    <x:row r="5" ht="52" customHeight="1">
      <x:c r="A5" s="2" t="str">
        <x:v>Strategy</x:v>
      </x:c>
      <x:c r="B5" s="14" t="str">
        <x:v>Dynamic Rent Pricing</x:v>
      </x:c>
      <x:c r="C5" s="2" t="str">
        <x:v>C++</x:v>
      </x:c>
      <x:c r="D5" s="14" t="str">
        <x:v>Part3/strategy/cpp/pricing.cpp</x:v>
      </x:c>
      <x:c r="E5" s="15" t="n">
        <x:v>42</x:v>
      </x:c>
      <x:c r="F5" s="15" t="n">
        <x:v>4</x:v>
      </x:c>
      <x:c r="G5" s="14" t="str">
        <x:v>G++ 13.3.0 C++20</x:v>
      </x:c>
      <x:c r="H5" s="14" t="str">
        <x:v>g++ -std=c++20 -O2 Part3/strategy/cpp/test_pricing.cpp -o /tmp/strategy &amp;&amp; /tmp/strategy</x:v>
      </x:c>
      <x:c r="I5" s="14" t="str">
        <x:v>6/6 passed</x:v>
      </x:c>
      <x:c r="J5" s="15" t="n">
        <x:v>11</x:v>
      </x:c>
      <x:c r="K5" s="14" t="str">
        <x:v>Virtual interface and unique_ptr express ownership; compilation produces the smallest startup time here.</x:v>
      </x:c>
    </x:row>
    <x:row r="6" ht="52" customHeight="1">
      <x:c r="A6" s="2" t="str">
        <x:v>Specification</x:v>
      </x:c>
      <x:c r="B6" s="14" t="str">
        <x:v>Advanced Property Filtering</x:v>
      </x:c>
      <x:c r="C6" s="2" t="str">
        <x:v>Java</x:v>
      </x:c>
      <x:c r="D6" s="14" t="str">
        <x:v>Part3/filter_specification/java/PropertyFilter.java</x:v>
      </x:c>
      <x:c r="E6" s="15" t="n">
        <x:v>33</x:v>
      </x:c>
      <x:c r="F6" s="15" t="n">
        <x:v>2</x:v>
      </x:c>
      <x:c r="G6" s="14" t="str">
        <x:v>OpenJDK 17.0.20.1</x:v>
      </x:c>
      <x:c r="H6" s="14" t="str">
        <x:v>javac PropertyFilter.java PropertyFilterTest.java &amp;&amp; java PropertyFilterTest</x:v>
      </x:c>
      <x:c r="I6" s="14" t="str">
        <x:v>5/5 passed</x:v>
      </x:c>
      <x:c r="J6" s="15" t="n">
        <x:v>68</x:v>
      </x:c>
      <x:c r="K6" s="14" t="str">
        <x:v>Records model immutable specifications; streams implement collection filtering and conjunction.</x:v>
      </x:c>
    </x:row>
    <x:row r="7" ht="52" customHeight="1">
      <x:c r="A7" s="2" t="str">
        <x:v>Specification</x:v>
      </x:c>
      <x:c r="B7" s="14" t="str">
        <x:v>Advanced Property Filtering</x:v>
      </x:c>
      <x:c r="C7" s="2" t="str">
        <x:v>Python</x:v>
      </x:c>
      <x:c r="D7" s="14" t="str">
        <x:v>Part3/filter_specification/python/property_filter.py</x:v>
      </x:c>
      <x:c r="E7" s="15" t="n">
        <x:v>44</x:v>
      </x:c>
      <x:c r="F7" s="15" t="n">
        <x:v>2</x:v>
      </x:c>
      <x:c r="G7" s="14" t="str">
        <x:v>Python 3.12.3</x:v>
      </x:c>
      <x:c r="H7" s="14" t="str">
        <x:v>cd Part3/filter_specification/python &amp;&amp; python3 test_property_filter.py</x:v>
      </x:c>
      <x:c r="I7" s="14" t="str">
        <x:v>5/5 passed</x:v>
      </x:c>
      <x:c r="J7" s="15" t="n">
        <x:v>46</x:v>
      </x:c>
      <x:c r="K7" s="14" t="str">
        <x:v>Protocol and dataclasses support structural specifications; list comprehensions filter fixtures.</x:v>
      </x:c>
    </x:row>
    <x:row r="8" ht="52" customHeight="1">
      <x:c r="A8" s="2" t="str">
        <x:v>Specification</x:v>
      </x:c>
      <x:c r="B8" s="14" t="str">
        <x:v>Advanced Property Filtering</x:v>
      </x:c>
      <x:c r="C8" s="2" t="str">
        <x:v>JavaScript</x:v>
      </x:c>
      <x:c r="D8" s="14" t="str">
        <x:v>Part3/filter_specification/javascript/property_filter.js</x:v>
      </x:c>
      <x:c r="E8" s="15" t="n">
        <x:v>26</x:v>
      </x:c>
      <x:c r="F8" s="15" t="n">
        <x:v>2</x:v>
      </x:c>
      <x:c r="G8" s="14" t="str">
        <x:v>Node.js 24.14.1</x:v>
      </x:c>
      <x:c r="H8" s="14" t="str">
        <x:v>node Part3/filter_specification/javascript/test_property_filter.mjs</x:v>
      </x:c>
      <x:c r="I8" s="14" t="str">
        <x:v>5/5 passed</x:v>
      </x:c>
      <x:c r="J8" s="15" t="n">
        <x:v>37</x:v>
      </x:c>
      <x:c r="K8" s="14" t="str">
        <x:v>Minimal class objects follow the same isSatisfiedBy contract without a nominal interface.</x:v>
      </x:c>
    </x:row>
    <x:row r="9" ht="52" customHeight="1">
      <x:c r="A9" s="2" t="str">
        <x:v>Specification</x:v>
      </x:c>
      <x:c r="B9" s="14" t="str">
        <x:v>Advanced Property Filtering</x:v>
      </x:c>
      <x:c r="C9" s="2" t="str">
        <x:v>C++</x:v>
      </x:c>
      <x:c r="D9" s="14" t="str">
        <x:v>Part3/filter_specification/cpp/property_filter.cpp</x:v>
      </x:c>
      <x:c r="E9" s="15" t="n">
        <x:v>62</x:v>
      </x:c>
      <x:c r="F9" s="15" t="n">
        <x:v>2</x:v>
      </x:c>
      <x:c r="G9" s="14" t="str">
        <x:v>G++ 13.3.0 C++20</x:v>
      </x:c>
      <x:c r="H9" s="14" t="str">
        <x:v>g++ -std=c++20 -O2 Part3/filter_specification/cpp/test_property_filter.cpp -o /tmp/spec &amp;&amp; /tmp/spec</x:v>
      </x:c>
      <x:c r="I9" s="14" t="str">
        <x:v>5/5 passed</x:v>
      </x:c>
      <x:c r="J9" s="15" t="n">
        <x:v>11</x:v>
      </x:c>
      <x:c r="K9" s="14" t="str">
        <x:v>Virtual interface plus shared_ptr lets the composite retain heterogeneous rules with explicit lifetimes.</x:v>
      </x:c>
    </x:row>
  </x:sheetData>
  <x:pageMargins left="0.7" right="0.7" top="0.75" bottom="0.75" header="0.3" footer="0.3"/>
  <x:tableParts count="1">
    <x:tablePart xmlns:r="http://schemas.openxmlformats.org/officeDocument/2006/relationships" r:id="R17f1b2c1ab854d0f"/>
  </x:tableParts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44" hidden="0" customWidth="1"/>
    <x:col min="4" max="4" width="38" hidden="0" customWidth="1"/>
    <x:col min="5" max="5" width="44" hidden="0" customWidth="1"/>
    <x:col min="6" max="6" width="48" hidden="0" customWidth="1"/>
    <x:col min="7" max="7" width="44" hidden="0" customWidth="1"/>
  </x:cols>
  <x:sheetData>
    <x:row r="1" ht="34" customHeight="1">
      <x:c r="A1" s="11" t="str">
        <x:v>part</x:v>
      </x:c>
      <x:c r="B1" s="12" t="str">
        <x:v>model_and_date</x:v>
      </x:c>
      <x:c r="C1" s="12" t="str">
        <x:v>prompt_file</x:v>
      </x:c>
      <x:c r="D1" s="12" t="str">
        <x:v>input_file</x:v>
      </x:c>
      <x:c r="E1" s="12" t="str">
        <x:v>output_file</x:v>
      </x:c>
      <x:c r="F1" s="12" t="str">
        <x:v>evaluation</x:v>
      </x:c>
      <x:c r="G1" s="13" t="str">
        <x:v>verification_file</x:v>
      </x:c>
    </x:row>
    <x:row r="2" ht="56" customHeight="1">
      <x:c r="A2" s="14" t="str">
        <x:v>Pattern discovery</x:v>
      </x:c>
      <x:c r="B2" s="14" t="str">
        <x:v>OpenAI Codex draft run 2026-10-11</x:v>
      </x:c>
      <x:c r="C2" s="14" t="str">
        <x:v>prompts/Earlapally_Sahith_Siddarth_prompt_01.txt</x:v>
      </x:c>
      <x:c r="D2" s="14" t="str">
        <x:v>Part1/code</x:v>
      </x:c>
      <x:c r="E2" s="14" t="str">
        <x:v>prompts/Earlapally_Sahith_Siddarth_output_01.md</x:v>
      </x:c>
      <x:c r="F2" s="14" t="str">
        <x:v>Correct against the recorded public commit and source evidence; upstream test mismatch disclosed; member acknowledgement pending.</x:v>
      </x:c>
      <x:c r="G2" s="14" t="str">
        <x:v>prompts/Earlapally_Sahith_Siddarth_verification_01.md</x:v>
      </x:c>
    </x:row>
    <x:row r="3" ht="56" customHeight="1">
      <x:c r="A3" s="14" t="str">
        <x:v>Pattern discovery</x:v>
      </x:c>
      <x:c r="B3" s="14" t="str">
        <x:v>OpenAI Codex draft run 2026-10-11</x:v>
      </x:c>
      <x:c r="C3" s="14" t="str">
        <x:v>prompts/Earlapally_Sahith_Siddarth_prompt_02.txt</x:v>
      </x:c>
      <x:c r="D3" s="14" t="str">
        <x:v>data/patterns.csv</x:v>
      </x:c>
      <x:c r="E3" s="14" t="str">
        <x:v>prompts/Earlapally_Sahith_Siddarth_output_02.md</x:v>
      </x:c>
      <x:c r="F3" s="14" t="str">
        <x:v>Correct: unsupported Repository Strategy and Observer candidates are excluded; member acknowledgement pending.</x:v>
      </x:c>
      <x:c r="G3" s="14" t="str">
        <x:v>prompts/Earlapally_Sahith_Siddarth_verification_02.md</x:v>
      </x:c>
    </x:row>
    <x:row r="4" ht="56" customHeight="1">
      <x:c r="A4" s="14" t="str">
        <x:v>Evolution CH01</x:v>
      </x:c>
      <x:c r="B4" s="14" t="str">
        <x:v>OpenAI Codex draft run 2026-10-11</x:v>
      </x:c>
      <x:c r="C4" s="14" t="str">
        <x:v>prompts/Kankanala_Sanithya_Reddy_prompt_01.txt</x:v>
      </x:c>
      <x:c r="D4" s="14" t="str">
        <x:v>Part2/code/app/Domain/Pricing</x:v>
      </x:c>
      <x:c r="E4" s="14" t="str">
        <x:v>prompts/Kankanala_Sanithya_Reddy_output_01.md</x:v>
      </x:c>
      <x:c r="F4" s="14" t="str">
        <x:v>Correct against the public-baseline CH01 patch and 10/10 final evolution checks; member acknowledgement pending.</x:v>
      </x:c>
      <x:c r="G4" s="14" t="str">
        <x:v>prompts/Kankanala_Sanithya_Reddy_verification_01.md</x:v>
      </x:c>
    </x:row>
    <x:row r="5" ht="56" customHeight="1">
      <x:c r="A5" s="14" t="str">
        <x:v>Cross-language metrics</x:v>
      </x:c>
      <x:c r="B5" s="14" t="str">
        <x:v>OpenAI Codex draft run 2026-10-11</x:v>
      </x:c>
      <x:c r="C5" s="14" t="str">
        <x:v>prompts/Kankanala_Sanithya_Reddy_prompt_02.txt</x:v>
      </x:c>
      <x:c r="D5" s="14" t="str">
        <x:v>Part3/strategy</x:v>
      </x:c>
      <x:c r="E5" s="14" t="str">
        <x:v>prompts/Kankanala_Sanithya_Reddy_output_02.md</x:v>
      </x:c>
      <x:c r="F5" s="14" t="str">
        <x:v>Correct for recorded environment and measurement rule; process timing is not a throughput benchmark.</x:v>
      </x:c>
      <x:c r="G5" s="14" t="str">
        <x:v>prompts/Kankanala_Sanithya_Reddy_verification_02.md</x:v>
      </x:c>
    </x:row>
    <x:row r="6" ht="56" customHeight="1">
      <x:c r="A6" s="14" t="str">
        <x:v>Evolution CH02</x:v>
      </x:c>
      <x:c r="B6" s="14" t="str">
        <x:v>OpenAI Codex draft run 2026-10-11</x:v>
      </x:c>
      <x:c r="C6" s="14" t="str">
        <x:v>prompts/Eati_Manoj_prompt_01.txt</x:v>
      </x:c>
      <x:c r="D6" s="14" t="str">
        <x:v>Part2/code/app/Domain/Search</x:v>
      </x:c>
      <x:c r="E6" s="14" t="str">
        <x:v>prompts/Eati_Manoj_output_01.md</x:v>
      </x:c>
      <x:c r="F6" s="14" t="str">
        <x:v>Correct against the public-baseline CH02 patch and composite filtering checks; member acknowledgement pending.</x:v>
      </x:c>
      <x:c r="G6" s="14" t="str">
        <x:v>prompts/Eati_Manoj_verification_01.md</x:v>
      </x:c>
    </x:row>
    <x:row r="7" ht="56" customHeight="1">
      <x:c r="A7" s="14" t="str">
        <x:v>Cross-language analysis</x:v>
      </x:c>
      <x:c r="B7" s="14" t="str">
        <x:v>OpenAI Codex draft run 2026-10-11</x:v>
      </x:c>
      <x:c r="C7" s="14" t="str">
        <x:v>prompts/Eati_Manoj_prompt_02.txt</x:v>
      </x:c>
      <x:c r="D7" s="14" t="str">
        <x:v>Part3/filter_specification</x:v>
      </x:c>
      <x:c r="E7" s="14" t="str">
        <x:v>prompts/Eati_Manoj_output_02.md</x:v>
      </x:c>
      <x:c r="F7" s="14" t="str">
        <x:v>Correct against identical fixtures and 5/5 results in four languages; member acknowledgement pending.</x:v>
      </x:c>
      <x:c r="G7" s="14" t="str">
        <x:v>prompts/Eati_Manoj_verification_02.md</x:v>
      </x:c>
    </x:row>
    <x:row r="8" ht="56" customHeight="1">
      <x:c r="A8" s="14" t="str">
        <x:v>Evolution CH03</x:v>
      </x:c>
      <x:c r="B8" s="14" t="str">
        <x:v>OpenAI Codex draft run 2026-10-11</x:v>
      </x:c>
      <x:c r="C8" s="14" t="str">
        <x:v>prompts/Bussa_Surya_prompt_01.txt</x:v>
      </x:c>
      <x:c r="D8" s="14" t="str">
        <x:v>Part2/code/app/Domain/Contracts</x:v>
      </x:c>
      <x:c r="E8" s="14" t="str">
        <x:v>prompts/Bussa_Surya_output_01.md</x:v>
      </x:c>
      <x:c r="F8" s="14" t="str">
        <x:v>Correct for the public-baseline CH03 patch; legal identity PKI and timestamping remain out of scope.</x:v>
      </x:c>
      <x:c r="G8" s="14" t="str">
        <x:v>prompts/Bussa_Surya_verification_01.md</x:v>
      </x:c>
    </x:row>
    <x:row r="9" ht="56" customHeight="1">
      <x:c r="A9" s="14" t="str">
        <x:v>Dataset audit</x:v>
      </x:c>
      <x:c r="B9" s="14" t="str">
        <x:v>OpenAI Codex draft run 2026-10-11</x:v>
      </x:c>
      <x:c r="C9" s="14" t="str">
        <x:v>prompts/Bussa_Surya_prompt_02.txt</x:v>
      </x:c>
      <x:c r="D9" s="14" t="str">
        <x:v>data</x:v>
      </x:c>
      <x:c r="E9" s="14" t="str">
        <x:v>prompts/Bussa_Surya_output_02.md</x:v>
      </x:c>
      <x:c r="F9" s="14" t="str">
        <x:v>Correct after public-baseline count/path reconciliation; member acknowledgement pending.</x:v>
      </x:c>
      <x:c r="G9" s="14" t="str">
        <x:v>prompts/Bussa_Surya_verification_02.md</x:v>
      </x:c>
    </x:row>
  </x:sheetData>
  <x:pageMargins left="0.7" right="0.7" top="0.75" bottom="0.75" header="0.3" footer="0.3"/>
  <x:tableParts count="1">
    <x:tablePart xmlns:r="http://schemas.openxmlformats.org/officeDocument/2006/relationships" r:id="R33c0b765309a4e92"/>
  </x:tableParts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24" hidden="0" customWidth="1"/>
    <x:col min="9" max="9" width="24" hidden="0" customWidth="1"/>
    <x:col min="10" max="10" width="48" hidden="0" customWidth="1"/>
  </x:cols>
  <x:sheetData>
    <x:row r="1" ht="34" customHeight="1">
      <x:c r="A1" s="11" t="str">
        <x:v>snapshot</x:v>
      </x:c>
      <x:c r="B1" s="12" t="str">
        <x:v>production_loc</x:v>
      </x:c>
      <x:c r="C1" s="12" t="str">
        <x:v>test_loc</x:v>
      </x:c>
      <x:c r="D1" s="12" t="str">
        <x:v>tests_passed</x:v>
      </x:c>
      <x:c r="E1" s="12" t="str">
        <x:v>tests_total</x:v>
      </x:c>
      <x:c r="F1" s="12" t="str">
        <x:v>pattern_types</x:v>
      </x:c>
      <x:c r="G1" s="12" t="str">
        <x:v>pattern_instances</x:v>
      </x:c>
      <x:c r="H1" s="12" t="str">
        <x:v>concrete_participant_classes</x:v>
      </x:c>
      <x:c r="I1" s="12" t="str">
        <x:v>unique_participant_symbols</x:v>
      </x:c>
      <x:c r="J1" s="13" t="str">
        <x:v>notes</x:v>
      </x:c>
    </x:row>
    <x:row r="2" ht="34" customHeight="1">
      <x:c r="A2" s="2" t="str">
        <x:v>Original code</x:v>
      </x:c>
      <x:c r="B2" s="15" t="n">
        <x:v>2055</x:v>
      </x:c>
      <x:c r="C2" s="15" t="n">
        <x:v>27</x:v>
      </x:c>
      <x:c r="D2" s="15" t="n">
        <x:v>1</x:v>
      </x:c>
      <x:c r="E2" s="15" t="n">
        <x:v>2</x:v>
      </x:c>
      <x:c r="F2" s="15" t="n">
        <x:v>5</x:v>
      </x:c>
      <x:c r="G2" s="15" t="n">
        <x:v>5</x:v>
      </x:c>
      <x:c r="H2" s="15" t="n">
        <x:v>18</x:v>
      </x:c>
      <x:c r="I2" s="15" t="n">
        <x:v>15</x:v>
      </x:c>
      <x:c r="J2" s="14" t="str">
        <x:v>Exact public baseline; one stale upstream example test expects 200 although the root redirects to login.</x:v>
      </x:c>
    </x:row>
    <x:row r="3" ht="34" customHeight="1">
      <x:c r="A3" s="2" t="str">
        <x:v>After CH01</x:v>
      </x:c>
      <x:c r="B3" s="15" t="n">
        <x:v>2143</x:v>
      </x:c>
      <x:c r="C3" s="15" t="n">
        <x:v>27</x:v>
      </x:c>
      <x:c r="D3" s="15" t="n">
        <x:v>2</x:v>
      </x:c>
      <x:c r="E3" s="15" t="n">
        <x:v>2</x:v>
      </x:c>
      <x:c r="F3" s="15" t="n">
        <x:v>6</x:v>
      </x:c>
      <x:c r="G3" s="15" t="n">
        <x:v>6</x:v>
      </x:c>
      <x:c r="H3" s="15" t="n">
        <x:v>21</x:v>
      </x:c>
      <x:c r="I3" s="15" t="n">
        <x:v>20</x:v>
      </x:c>
      <x:c r="J3" s="14" t="str">
        <x:v>Strategy pricing added and two pricing acceptance checks passed.</x:v>
      </x:c>
    </x:row>
    <x:row r="4" ht="34" customHeight="1">
      <x:c r="A4" s="2" t="str">
        <x:v>After CH02</x:v>
      </x:c>
      <x:c r="B4" s="15" t="n">
        <x:v>2303</x:v>
      </x:c>
      <x:c r="C4" s="15" t="n">
        <x:v>27</x:v>
      </x:c>
      <x:c r="D4" s="15" t="n">
        <x:v>4</x:v>
      </x:c>
      <x:c r="E4" s="15" t="n">
        <x:v>4</x:v>
      </x:c>
      <x:c r="F4" s="15" t="n">
        <x:v>7</x:v>
      </x:c>
      <x:c r="G4" s="15" t="n">
        <x:v>7</x:v>
      </x:c>
      <x:c r="H4" s="15" t="n">
        <x:v>32</x:v>
      </x:c>
      <x:c r="I4" s="15" t="n">
        <x:v>32</x:v>
      </x:c>
      <x:c r="J4" s="14" t="str">
        <x:v>Specification filtering added; four cumulative pricing/filter checks passed.</x:v>
      </x:c>
    </x:row>
    <x:row r="5" ht="34" customHeight="1">
      <x:c r="A5" s="2" t="str">
        <x:v>After CH03</x:v>
      </x:c>
      <x:c r="B5" s="15" t="n">
        <x:v>2450</x:v>
      </x:c>
      <x:c r="C5" s="15" t="n">
        <x:v>120</x:v>
      </x:c>
      <x:c r="D5" s="15" t="n">
        <x:v>10</x:v>
      </x:c>
      <x:c r="E5" s="15" t="n">
        <x:v>10</x:v>
      </x:c>
      <x:c r="F5" s="15" t="n">
        <x:v>8</x:v>
      </x:c>
      <x:c r="G5" s="15" t="n">
        <x:v>8</x:v>
      </x:c>
      <x:c r="H5" s="15" t="n">
        <x:v>38</x:v>
      </x:c>
      <x:c r="I5" s="15" t="n">
        <x:v>41</x:v>
      </x:c>
      <x:c r="J5" s="14" t="str">
        <x:v>State contract lifecycle added; focused evolution runner passed 10/10.</x:v>
      </x:c>
    </x:row>
  </x:sheetData>
  <x:pageMargins left="0.7" right="0.7" top="0.75" bottom="0.75" header="0.3" footer="0.3"/>
  <x:tableParts count="1">
    <x:tablePart xmlns:r="http://schemas.openxmlformats.org/officeDocument/2006/relationships" r:id="R2918e87bd6114cda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8" hidden="0" customWidth="1"/>
    <x:col min="7" max="7" width="16" hidden="0" customWidth="1"/>
    <x:col min="8" max="8" width="18" hidden="0" customWidth="1"/>
  </x:cols>
  <x:sheetData>
    <x:row r="1" ht="34" customHeight="1">
      <x:c r="A1" s="11" t="str">
        <x:v>member</x:v>
      </x:c>
      <x:c r="B1" s="12" t="str">
        <x:v>roll_number</x:v>
      </x:c>
      <x:c r="C1" s="12" t="str">
        <x:v>batch</x:v>
      </x:c>
      <x:c r="D1" s="12" t="str">
        <x:v>allocation_percent</x:v>
      </x:c>
      <x:c r="E1" s="12" t="str">
        <x:v>primary_contribution</x:v>
      </x:c>
      <x:c r="F1" s="12" t="str">
        <x:v>evidence_paths</x:v>
      </x:c>
      <x:c r="G1" s="12" t="str">
        <x:v>prompt_records</x:v>
      </x:c>
      <x:c r="H1" s="13" t="str">
        <x:v>human_signoff</x:v>
      </x:c>
    </x:row>
    <x:row r="2" ht="46" customHeight="1">
      <x:c r="A2" s="2" t="str">
        <x:v>Earlapally Sahith Siddarth</x:v>
      </x:c>
      <x:c r="B2" s="2" t="str">
        <x:v>AM.SC.U4CSE23217</x:v>
      </x:c>
      <x:c r="C2" s="2" t="str">
        <x:v>2</x:v>
      </x:c>
      <x:c r="D2" s="16" t="n">
        <x:v>0.25</x:v>
      </x:c>
      <x:c r="E2" s="14" t="str">
        <x:v>Public baseline selection architecture and pattern discovery</x:v>
      </x:c>
      <x:c r="F2" s="14" t="str">
        <x:v>Part1/code; Part1/diagrams; data/patterns.csv</x:v>
      </x:c>
      <x:c r="G2" s="2" t="n">
        <x:v>2</x:v>
      </x:c>
      <x:c r="H2" s="2" t="str">
        <x:v>Pending</x:v>
      </x:c>
    </x:row>
    <x:row r="3" ht="46" customHeight="1">
      <x:c r="A3" s="2" t="str">
        <x:v>Bussa Surya</x:v>
      </x:c>
      <x:c r="B3" s="2" t="str">
        <x:v>AM.SC.U4CSE23213</x:v>
      </x:c>
      <x:c r="C3" s="2" t="str">
        <x:v>2</x:v>
      </x:c>
      <x:c r="D3" s="16" t="n">
        <x:v>0.25</x:v>
      </x:c>
      <x:c r="E3" s="14" t="str">
        <x:v>Digital contract State dataset audit and final integration</x:v>
      </x:c>
      <x:c r="F3" s="14" t="str">
        <x:v>Part2/code/app/Domain/Contracts; Part2/code/app/Models/DigitalContract.php; data; HUMAN_VERIFICATION.md</x:v>
      </x:c>
      <x:c r="G3" s="2" t="n">
        <x:v>2</x:v>
      </x:c>
      <x:c r="H3" s="2" t="str">
        <x:v>Pending</x:v>
      </x:c>
    </x:row>
    <x:row r="4" ht="46" customHeight="1">
      <x:c r="A4" s="2" t="str">
        <x:v>Eati Manoj</x:v>
      </x:c>
      <x:c r="B4" s="2" t="str">
        <x:v>AM.SC.U4CSE23317</x:v>
      </x:c>
      <x:c r="C4" s="2" t="str">
        <x:v>2</x:v>
      </x:c>
      <x:c r="D4" s="16" t="n">
        <x:v>0.25</x:v>
      </x:c>
      <x:c r="E4" s="14" t="str">
        <x:v>Advanced Specification filtering and cross-language comparison</x:v>
      </x:c>
      <x:c r="F4" s="14" t="str">
        <x:v>Part2/code/app/Domain/Search; Part3/filter_specification</x:v>
      </x:c>
      <x:c r="G4" s="2" t="n">
        <x:v>2</x:v>
      </x:c>
      <x:c r="H4" s="2" t="str">
        <x:v>Pending</x:v>
      </x:c>
    </x:row>
    <x:row r="5" ht="46" customHeight="1">
      <x:c r="A5" s="2" t="str">
        <x:v>Kankanala Sanithya Reddy</x:v>
      </x:c>
      <x:c r="B5" s="2" t="str">
        <x:v>AM.SC.U4CSE23327</x:v>
      </x:c>
      <x:c r="C5" s="2" t="str">
        <x:v>2</x:v>
      </x:c>
      <x:c r="D5" s="16" t="n">
        <x:v>0.25</x:v>
      </x:c>
      <x:c r="E5" s="14" t="str">
        <x:v>Dynamic pricing Strategy tests and metrics</x:v>
      </x:c>
      <x:c r="F5" s="14" t="str">
        <x:v>Part2/code/app/Domain/Pricing; Part3/strategy; Part3/evidence/cross_language_runs.txt</x:v>
      </x:c>
      <x:c r="G5" s="2" t="n">
        <x:v>2</x:v>
      </x:c>
      <x:c r="H5" s="2" t="str">
        <x:v>Pending</x:v>
      </x:c>
    </x:row>
  </x:sheetData>
  <x:conditionalFormatting sqref="H2:H5">
    <x:cfRule type="containsText" dxfId="0" priority="1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2749b2a54c49449f"/>
  </x:tableParts>
</x:worksheet>
</file>